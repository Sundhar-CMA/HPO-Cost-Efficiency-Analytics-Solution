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zellis-my.sharepoint.com/personal/sundhar_kilingarumana_zellis_com/Documents/Desktop/New folder/Power BI Project/"/>
    </mc:Choice>
  </mc:AlternateContent>
  <xr:revisionPtr revIDLastSave="1" documentId="11_E50DF820726498CD23E3F39131B68C96B150379C" xr6:coauthVersionLast="47" xr6:coauthVersionMax="47" xr10:uidLastSave="{498869EE-C2ED-4227-AE6C-B8333AB249D8}"/>
  <bookViews>
    <workbookView xWindow="-16500" yWindow="-96" windowWidth="16608" windowHeight="8712" tabRatio="500" activeTab="2" xr2:uid="{00000000-000D-0000-FFFF-FFFF00000000}"/>
  </bookViews>
  <sheets>
    <sheet name="Dashboard" sheetId="1" r:id="rId1"/>
    <sheet name="Assumptions" sheetId="2" r:id="rId2"/>
    <sheet name="Ide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3" l="1"/>
  <c r="L51" i="3"/>
  <c r="K51" i="3"/>
  <c r="H51" i="3"/>
  <c r="L50" i="3"/>
  <c r="M50" i="3" s="1"/>
  <c r="D20" i="1" s="1"/>
  <c r="K50" i="3"/>
  <c r="H50" i="3"/>
  <c r="M49" i="3"/>
  <c r="L49" i="3"/>
  <c r="K49" i="3"/>
  <c r="H49" i="3"/>
  <c r="M48" i="3"/>
  <c r="L48" i="3"/>
  <c r="K48" i="3"/>
  <c r="H48" i="3"/>
  <c r="M47" i="3"/>
  <c r="L47" i="3"/>
  <c r="K47" i="3"/>
  <c r="H47" i="3"/>
  <c r="M46" i="3"/>
  <c r="L46" i="3"/>
  <c r="K46" i="3"/>
  <c r="H46" i="3"/>
  <c r="M45" i="3"/>
  <c r="L45" i="3"/>
  <c r="K45" i="3"/>
  <c r="H45" i="3"/>
  <c r="M44" i="3"/>
  <c r="L44" i="3"/>
  <c r="K44" i="3"/>
  <c r="H44" i="3"/>
  <c r="M43" i="3"/>
  <c r="L43" i="3"/>
  <c r="K43" i="3"/>
  <c r="H43" i="3"/>
  <c r="M42" i="3"/>
  <c r="L42" i="3"/>
  <c r="K42" i="3"/>
  <c r="H42" i="3"/>
  <c r="M41" i="3"/>
  <c r="L41" i="3"/>
  <c r="K41" i="3"/>
  <c r="H41" i="3"/>
  <c r="M40" i="3"/>
  <c r="L40" i="3"/>
  <c r="K40" i="3"/>
  <c r="H40" i="3"/>
  <c r="M39" i="3"/>
  <c r="L39" i="3"/>
  <c r="K39" i="3"/>
  <c r="H39" i="3"/>
  <c r="M38" i="3"/>
  <c r="L38" i="3"/>
  <c r="K38" i="3"/>
  <c r="H38" i="3"/>
  <c r="M37" i="3"/>
  <c r="L37" i="3"/>
  <c r="K37" i="3"/>
  <c r="H37" i="3"/>
  <c r="M36" i="3"/>
  <c r="L36" i="3"/>
  <c r="K36" i="3"/>
  <c r="H36" i="3"/>
  <c r="M35" i="3"/>
  <c r="L35" i="3"/>
  <c r="K35" i="3"/>
  <c r="H35" i="3"/>
  <c r="M34" i="3"/>
  <c r="L34" i="3"/>
  <c r="K34" i="3"/>
  <c r="H34" i="3"/>
  <c r="M33" i="3"/>
  <c r="L33" i="3"/>
  <c r="K33" i="3"/>
  <c r="H33" i="3"/>
  <c r="M32" i="3"/>
  <c r="L32" i="3"/>
  <c r="K32" i="3"/>
  <c r="H32" i="3"/>
  <c r="M31" i="3"/>
  <c r="L31" i="3"/>
  <c r="K31" i="3"/>
  <c r="H31" i="3"/>
  <c r="M30" i="3"/>
  <c r="L30" i="3"/>
  <c r="K30" i="3"/>
  <c r="H30" i="3"/>
  <c r="M29" i="3"/>
  <c r="L29" i="3"/>
  <c r="K29" i="3"/>
  <c r="H29" i="3"/>
  <c r="M28" i="3"/>
  <c r="L28" i="3"/>
  <c r="K28" i="3"/>
  <c r="H28" i="3"/>
  <c r="M27" i="3"/>
  <c r="L27" i="3"/>
  <c r="K27" i="3"/>
  <c r="H27" i="3"/>
  <c r="M26" i="3"/>
  <c r="L26" i="3"/>
  <c r="K26" i="3"/>
  <c r="H26" i="3"/>
  <c r="M25" i="3"/>
  <c r="L25" i="3"/>
  <c r="K25" i="3"/>
  <c r="H25" i="3"/>
  <c r="M24" i="3"/>
  <c r="L24" i="3"/>
  <c r="K24" i="3"/>
  <c r="H24" i="3"/>
  <c r="M23" i="3"/>
  <c r="L23" i="3"/>
  <c r="K23" i="3"/>
  <c r="H23" i="3"/>
  <c r="M22" i="3"/>
  <c r="L22" i="3"/>
  <c r="K22" i="3"/>
  <c r="H22" i="3"/>
  <c r="M21" i="3"/>
  <c r="L21" i="3"/>
  <c r="K21" i="3"/>
  <c r="H21" i="3"/>
  <c r="M20" i="3"/>
  <c r="L20" i="3"/>
  <c r="K20" i="3"/>
  <c r="H20" i="3"/>
  <c r="M19" i="3"/>
  <c r="L19" i="3"/>
  <c r="K19" i="3"/>
  <c r="H19" i="3"/>
  <c r="M18" i="3"/>
  <c r="L18" i="3"/>
  <c r="K18" i="3"/>
  <c r="H18" i="3"/>
  <c r="M17" i="3"/>
  <c r="L17" i="3"/>
  <c r="K17" i="3"/>
  <c r="H17" i="3"/>
  <c r="M16" i="3"/>
  <c r="L16" i="3"/>
  <c r="K16" i="3"/>
  <c r="H16" i="3"/>
  <c r="M15" i="3"/>
  <c r="L15" i="3"/>
  <c r="K15" i="3"/>
  <c r="H15" i="3"/>
  <c r="M14" i="3"/>
  <c r="L14" i="3"/>
  <c r="K14" i="3"/>
  <c r="H14" i="3"/>
  <c r="M13" i="3"/>
  <c r="L13" i="3"/>
  <c r="K13" i="3"/>
  <c r="H13" i="3"/>
  <c r="M12" i="3"/>
  <c r="L12" i="3"/>
  <c r="K12" i="3"/>
  <c r="H12" i="3"/>
  <c r="M11" i="3"/>
  <c r="L11" i="3"/>
  <c r="K11" i="3"/>
  <c r="H11" i="3"/>
  <c r="M10" i="3"/>
  <c r="L10" i="3"/>
  <c r="K10" i="3"/>
  <c r="H10" i="3"/>
  <c r="M9" i="3"/>
  <c r="L9" i="3"/>
  <c r="K9" i="3"/>
  <c r="H9" i="3"/>
  <c r="M8" i="3"/>
  <c r="L8" i="3"/>
  <c r="K8" i="3"/>
  <c r="H8" i="3"/>
  <c r="M7" i="3"/>
  <c r="L7" i="3"/>
  <c r="K7" i="3"/>
  <c r="H7" i="3"/>
  <c r="M6" i="3"/>
  <c r="L6" i="3"/>
  <c r="K6" i="3"/>
  <c r="H6" i="3"/>
  <c r="M5" i="3"/>
  <c r="L5" i="3"/>
  <c r="K5" i="3"/>
  <c r="H5" i="3"/>
  <c r="M4" i="3"/>
  <c r="L4" i="3"/>
  <c r="K4" i="3"/>
  <c r="H4" i="3"/>
  <c r="M3" i="3"/>
  <c r="L3" i="3"/>
  <c r="K3" i="3"/>
  <c r="H3" i="3"/>
  <c r="M2" i="3"/>
  <c r="L2" i="3"/>
  <c r="K2" i="3"/>
  <c r="H2" i="3"/>
  <c r="B7" i="2"/>
  <c r="B28" i="1"/>
  <c r="B27" i="1"/>
  <c r="B26" i="1"/>
  <c r="B25" i="1"/>
  <c r="D21" i="1"/>
  <c r="C21" i="1"/>
  <c r="B21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<sst xmlns="http://schemas.openxmlformats.org/spreadsheetml/2006/main" count="412" uniqueCount="207">
  <si>
    <t>HPO Idea Pipeline - Executive Summary</t>
  </si>
  <si>
    <t>Total Ideas Tracked</t>
  </si>
  <si>
    <t>Total Annual Savings Potential (INR Lakh)</t>
  </si>
  <si>
    <t>Total Implementation Cost (INR Lakh)</t>
  </si>
  <si>
    <t>Ideas Implemented (%)</t>
  </si>
  <si>
    <t>Ideas In Progress / Approved (%)</t>
  </si>
  <si>
    <t>Average Payback Period (Years)</t>
  </si>
  <si>
    <t>Savings &amp; Priority by Category</t>
  </si>
  <si>
    <t>Category</t>
  </si>
  <si>
    <t>Total Annual Savings (INR Lakh)</t>
  </si>
  <si>
    <t># Ideas</t>
  </si>
  <si>
    <t>Avg Priority Score</t>
  </si>
  <si>
    <t>Digital &amp; Automation</t>
  </si>
  <si>
    <t>EV &amp; Powertrain</t>
  </si>
  <si>
    <t>Facilities &amp; Energy</t>
  </si>
  <si>
    <t>HR &amp; Workforce</t>
  </si>
  <si>
    <t>IT &amp; Systems</t>
  </si>
  <si>
    <t>Manufacturing &amp; Production</t>
  </si>
  <si>
    <t>Procurement &amp; Vendor</t>
  </si>
  <si>
    <t>Quality &amp; Warranty</t>
  </si>
  <si>
    <t>Sales &amp; Aftersales</t>
  </si>
  <si>
    <t>Supply Chain &amp; Logistics</t>
  </si>
  <si>
    <t>Savings by Forecast Quarter (Approved + In Progress + Implemented)</t>
  </si>
  <si>
    <t>Quarter</t>
  </si>
  <si>
    <t>Q1 FY26</t>
  </si>
  <si>
    <t>Q2 FY26</t>
  </si>
  <si>
    <t>Q3 FY26</t>
  </si>
  <si>
    <t>Q4 FY26</t>
  </si>
  <si>
    <t>Scoring Model - Weight Assumptions</t>
  </si>
  <si>
    <t>Savings Weight</t>
  </si>
  <si>
    <t>Payback Weight</t>
  </si>
  <si>
    <t>Ease of Implementation Weight</t>
  </si>
  <si>
    <t>Strategic Alignment Weight</t>
  </si>
  <si>
    <t>Total Weight (should equal 100%)</t>
  </si>
  <si>
    <t>Savings Score Breakpoints (INR Lakh, Annual)</t>
  </si>
  <si>
    <t>Score 5: &gt;=</t>
  </si>
  <si>
    <t>Score 4: &gt;=</t>
  </si>
  <si>
    <t>Score 3: &gt;=</t>
  </si>
  <si>
    <t>Score 2: &gt;=</t>
  </si>
  <si>
    <t>Score 1: &lt;</t>
  </si>
  <si>
    <t>Payback Score Breakpoints (Years)</t>
  </si>
  <si>
    <t>Score 5: &lt;=</t>
  </si>
  <si>
    <t>Score 4: &lt;=</t>
  </si>
  <si>
    <t>Score 3: &lt;=</t>
  </si>
  <si>
    <t>Score 2: &lt;=</t>
  </si>
  <si>
    <t>Score 1: &gt;</t>
  </si>
  <si>
    <t>Idea ID</t>
  </si>
  <si>
    <t>Idea Name</t>
  </si>
  <si>
    <t>Department</t>
  </si>
  <si>
    <t>Owner</t>
  </si>
  <si>
    <t>Annual Savings (INR Lakh)</t>
  </si>
  <si>
    <t>Implementation Cost (INR Lakh)</t>
  </si>
  <si>
    <t>Payback Period (Years)</t>
  </si>
  <si>
    <t>Ease Score (1-5)</t>
  </si>
  <si>
    <t>Alignment Score (1-5)</t>
  </si>
  <si>
    <t>Savings Score (1-5)</t>
  </si>
  <si>
    <t>Payback Score (1-5)</t>
  </si>
  <si>
    <t>Priority Score</t>
  </si>
  <si>
    <t>Status</t>
  </si>
  <si>
    <t>Forecast Quarter</t>
  </si>
  <si>
    <t>ID-001</t>
  </si>
  <si>
    <t>Reduce paint shop rework rate via booth humidity control</t>
  </si>
  <si>
    <t>Production - Paint Shop</t>
  </si>
  <si>
    <t>R. Deshmukh</t>
  </si>
  <si>
    <t>In Progress</t>
  </si>
  <si>
    <t>ID-002</t>
  </si>
  <si>
    <t>Press shop die-change time reduction (SMED)</t>
  </si>
  <si>
    <t>Production - Press Shop</t>
  </si>
  <si>
    <t>A. Kulkarni</t>
  </si>
  <si>
    <t>Approved</t>
  </si>
  <si>
    <t>ID-003</t>
  </si>
  <si>
    <t>Line balancing optimization on Trim &amp; Final assembly</t>
  </si>
  <si>
    <t>Production - TCF</t>
  </si>
  <si>
    <t>S. Iyer</t>
  </si>
  <si>
    <t>Implemented</t>
  </si>
  <si>
    <t>ID-004</t>
  </si>
  <si>
    <t>Reduce scrap rate in body shop welding cells</t>
  </si>
  <si>
    <t>Production - Body Shop</t>
  </si>
  <si>
    <t>M. Verma</t>
  </si>
  <si>
    <t>Under Review</t>
  </si>
  <si>
    <t>ID-005</t>
  </si>
  <si>
    <t>Compressed air leak audit and remediation across plant</t>
  </si>
  <si>
    <t>Production - Utilities</t>
  </si>
  <si>
    <t>P. Nair</t>
  </si>
  <si>
    <t>ID-006</t>
  </si>
  <si>
    <t>Milk-run inbound logistics for Tier-1 suppliers within 150km radius</t>
  </si>
  <si>
    <t>Supply Chain</t>
  </si>
  <si>
    <t>K. Reddy</t>
  </si>
  <si>
    <t>ID-007</t>
  </si>
  <si>
    <t>Returnable packaging program to replace one-way cartons</t>
  </si>
  <si>
    <t>N. Joshi</t>
  </si>
  <si>
    <t>ID-008</t>
  </si>
  <si>
    <t>Warehouse slotting optimization for high-velocity SKUs</t>
  </si>
  <si>
    <t>D. Rao</t>
  </si>
  <si>
    <t>ID-009</t>
  </si>
  <si>
    <t>Consolidate CKD import shipments to reduce freight cost</t>
  </si>
  <si>
    <t>V. Menon</t>
  </si>
  <si>
    <t>ID-010</t>
  </si>
  <si>
    <t>Route optimization software for outbound vehicle carriers</t>
  </si>
  <si>
    <t>Idea</t>
  </si>
  <si>
    <t>ID-011</t>
  </si>
  <si>
    <t>Localize fasteners and rubber components currently imported</t>
  </si>
  <si>
    <t>Procurement</t>
  </si>
  <si>
    <t>S. Bhatt</t>
  </si>
  <si>
    <t>ID-012</t>
  </si>
  <si>
    <t>Vendor consolidation for indirect MRO spend</t>
  </si>
  <si>
    <t>T. Pillai</t>
  </si>
  <si>
    <t>ID-013</t>
  </si>
  <si>
    <t>Renegotiate long-term steel supply contracts</t>
  </si>
  <si>
    <t>ID-014</t>
  </si>
  <si>
    <t>Tooling reuse program across Skoda-VW shared platforms</t>
  </si>
  <si>
    <t>A. Chawla</t>
  </si>
  <si>
    <t>ID-015</t>
  </si>
  <si>
    <t>E-auction rollout for non-critical component sourcing</t>
  </si>
  <si>
    <t>ID-016</t>
  </si>
  <si>
    <t>Battery pack component standardization across MQB-EVO/MEB</t>
  </si>
  <si>
    <t>EV Program Office</t>
  </si>
  <si>
    <t>R. Sharma</t>
  </si>
  <si>
    <t>ID-017</t>
  </si>
  <si>
    <t>In-house EV charging infrastructure for plant fleet vehicles</t>
  </si>
  <si>
    <t>L. Fernandes</t>
  </si>
  <si>
    <t>ID-018</t>
  </si>
  <si>
    <t>Second-life battery cell testing partnership to cut R&amp;D cost</t>
  </si>
  <si>
    <t>ID-019</t>
  </si>
  <si>
    <t>Motor winding copper wastage reduction</t>
  </si>
  <si>
    <t>H. Agarwal</t>
  </si>
  <si>
    <t>ID-020</t>
  </si>
  <si>
    <t>Shared e-axle sourcing across VW Group India platforms</t>
  </si>
  <si>
    <t>ID-021</t>
  </si>
  <si>
    <t>RPA for accounts payable invoice matching</t>
  </si>
  <si>
    <t>Finance - Shared Services</t>
  </si>
  <si>
    <t>P. Krishnan</t>
  </si>
  <si>
    <t>ID-022</t>
  </si>
  <si>
    <t>Predictive maintenance sensors on press shop machinery</t>
  </si>
  <si>
    <t>Digital &amp; IT</t>
  </si>
  <si>
    <t>V. Rao</t>
  </si>
  <si>
    <t>ID-023</t>
  </si>
  <si>
    <t>Automated MIS report generation replacing manual Excel consolidation</t>
  </si>
  <si>
    <t>Financial Planning - HPO</t>
  </si>
  <si>
    <t>Sundhar N.</t>
  </si>
  <si>
    <t>ID-024</t>
  </si>
  <si>
    <t>Chatbot for internal HR and IT service requests</t>
  </si>
  <si>
    <t>HR - Shared Services</t>
  </si>
  <si>
    <t>M. D'Souza</t>
  </si>
  <si>
    <t>ID-025</t>
  </si>
  <si>
    <t>IoT-based energy monitoring across production halls</t>
  </si>
  <si>
    <t>Facilities</t>
  </si>
  <si>
    <t>ID-026</t>
  </si>
  <si>
    <t>Reduce warranty claims via supplier PPM tracking dashboard</t>
  </si>
  <si>
    <t>Quality</t>
  </si>
  <si>
    <t>G. Bose</t>
  </si>
  <si>
    <t>ID-027</t>
  </si>
  <si>
    <t>First-time-right improvement in engine assembly torque checks</t>
  </si>
  <si>
    <t>ID-028</t>
  </si>
  <si>
    <t>Standardize End-of-Line test parameters across variants</t>
  </si>
  <si>
    <t>A. Iyer</t>
  </si>
  <si>
    <t>ID-029</t>
  </si>
  <si>
    <t>Reduce field failure cost via improved wiring harness routing</t>
  </si>
  <si>
    <t>S. Kapoor</t>
  </si>
  <si>
    <t>ID-030</t>
  </si>
  <si>
    <t>Supplier quality audit consolidation to cut travel/inspection cost</t>
  </si>
  <si>
    <t>ID-031</t>
  </si>
  <si>
    <t>Contract labor rationalization in non-core support functions</t>
  </si>
  <si>
    <t>HR</t>
  </si>
  <si>
    <t>ID-032</t>
  </si>
  <si>
    <t>Cross-skilling program to reduce overtime dependency</t>
  </si>
  <si>
    <t>R. Chandran</t>
  </si>
  <si>
    <t>ID-033</t>
  </si>
  <si>
    <t>Shift restructuring to align headcount with production takt time</t>
  </si>
  <si>
    <t>ID-034</t>
  </si>
  <si>
    <t>Digitize training modules to cut external training vendor cost</t>
  </si>
  <si>
    <t>ID-035</t>
  </si>
  <si>
    <t>Attrition reduction program for skilled shop-floor technicians</t>
  </si>
  <si>
    <t>ID-036</t>
  </si>
  <si>
    <t>Rooftop solar installation across Pune and Aurangabad plants</t>
  </si>
  <si>
    <t>ID-037</t>
  </si>
  <si>
    <t>LED retrofit across shop floor and office lighting</t>
  </si>
  <si>
    <t>ID-038</t>
  </si>
  <si>
    <t>Effluent water recycling for paint shop process water</t>
  </si>
  <si>
    <t>ID-039</t>
  </si>
  <si>
    <t>HVAC load optimization in paint shop ovens</t>
  </si>
  <si>
    <t>ID-040</t>
  </si>
  <si>
    <t>Rainwater harvesting to reduce municipal water dependency</t>
  </si>
  <si>
    <t>ID-041</t>
  </si>
  <si>
    <t>SAP license rationalization across non-active user accounts</t>
  </si>
  <si>
    <t>IT</t>
  </si>
  <si>
    <t>ID-042</t>
  </si>
  <si>
    <t>Consolidate duplicate reporting tools onto single Power BI platform</t>
  </si>
  <si>
    <t>ID-043</t>
  </si>
  <si>
    <t>Cloud migration for non-critical legacy applications</t>
  </si>
  <si>
    <t>S. Menon</t>
  </si>
  <si>
    <t>ID-044</t>
  </si>
  <si>
    <t>Automate vendor master data cleansing in SAP</t>
  </si>
  <si>
    <t>ID-045</t>
  </si>
  <si>
    <t>Single sign-on rollout to cut IT helpdesk password-reset tickets</t>
  </si>
  <si>
    <t>ID-046</t>
  </si>
  <si>
    <t>Optimize dealer spare parts inventory via demand forecasting</t>
  </si>
  <si>
    <t>Aftersales</t>
  </si>
  <si>
    <t>K. Subramaniam</t>
  </si>
  <si>
    <t>ID-047</t>
  </si>
  <si>
    <t>Reduce dealer-to-dealer part transfer cost via regional hubs</t>
  </si>
  <si>
    <t>ID-048</t>
  </si>
  <si>
    <t>Digitize warranty claim submission to cut processing cost</t>
  </si>
  <si>
    <t>ID-049</t>
  </si>
  <si>
    <t>Consolidate regional service center real estate footprint</t>
  </si>
  <si>
    <t>ID-050</t>
  </si>
  <si>
    <t>Predictive parts demand model to cut dealer overstock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</si>
</sst>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5"/>
      <name val="Cambria"/>
      <charset val="1"/>
    </font>
    <font>
      <b/>
      <sz val="11"/>
      <name val="Cambria"/>
      <charset val="1"/>
    </font>
    <font>
      <b/>
      <sz val="12"/>
      <name val="Cambria"/>
      <charset val="1"/>
    </font>
    <font>
      <b/>
      <sz val="11"/>
      <color rgb="FFFFFFFF"/>
      <name val="Cambria"/>
      <charset val="1"/>
    </font>
    <font>
      <b/>
      <sz val="13"/>
      <name val="Cambria"/>
      <charset val="1"/>
    </font>
    <font>
      <sz val="11"/>
      <color rgb="FF0000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9" fontId="2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2" fontId="6" fillId="0" borderId="0" xfId="0" applyNumberFormat="1" applyFont="1"/>
    <xf numFmtId="2" fontId="6" fillId="0" borderId="1" xfId="0" applyNumberFormat="1" applyFont="1" applyBorder="1"/>
    <xf numFmtId="1" fontId="6" fillId="0" borderId="1" xfId="0" applyNumberFormat="1" applyFont="1" applyBorder="1"/>
    <xf numFmtId="1" fontId="0" fillId="0" borderId="1" xfId="0" applyNumberForma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18" zoomScaleNormal="100" workbookViewId="0">
      <selection activeCell="D27" sqref="D27"/>
    </sheetView>
  </sheetViews>
  <sheetFormatPr defaultColWidth="8.6640625" defaultRowHeight="14.4" x14ac:dyDescent="0.3"/>
  <cols>
    <col min="1" max="1" width="26" customWidth="1"/>
    <col min="2" max="2" width="30" customWidth="1"/>
    <col min="3" max="3" width="10" customWidth="1"/>
    <col min="4" max="4" width="16" customWidth="1"/>
  </cols>
  <sheetData>
    <row r="1" spans="1:4" ht="18.600000000000001" customHeight="1" x14ac:dyDescent="0.35">
      <c r="A1" s="16" t="s">
        <v>0</v>
      </c>
      <c r="B1" s="17"/>
      <c r="C1" s="17"/>
      <c r="D1" s="17"/>
    </row>
    <row r="3" spans="1:4" ht="15" customHeight="1" x14ac:dyDescent="0.3">
      <c r="A3" s="1" t="s">
        <v>1</v>
      </c>
      <c r="C3" s="2">
        <f>COUNTA(Ideas!A2:A51)</f>
        <v>50</v>
      </c>
    </row>
    <row r="4" spans="1:4" ht="15" customHeight="1" x14ac:dyDescent="0.3">
      <c r="A4" s="1" t="s">
        <v>2</v>
      </c>
      <c r="C4" s="2">
        <f>SUM(Ideas!F2:F51)</f>
        <v>5042</v>
      </c>
    </row>
    <row r="5" spans="1:4" ht="15" customHeight="1" x14ac:dyDescent="0.3">
      <c r="A5" s="1" t="s">
        <v>3</v>
      </c>
      <c r="C5" s="2">
        <f>SUM(Ideas!G2:G51)</f>
        <v>1281</v>
      </c>
    </row>
    <row r="6" spans="1:4" ht="15" customHeight="1" x14ac:dyDescent="0.3">
      <c r="A6" s="1" t="s">
        <v>4</v>
      </c>
      <c r="C6" s="3">
        <f>COUNTIF(Ideas!N2:N51,"Implemented")/COUNTA(Ideas!A2:A51)</f>
        <v>0.16</v>
      </c>
    </row>
    <row r="7" spans="1:4" ht="15" customHeight="1" x14ac:dyDescent="0.3">
      <c r="A7" s="1" t="s">
        <v>5</v>
      </c>
      <c r="C7" s="3">
        <f>(COUNTIF(Ideas!N2:N51,"In Progress")+COUNTIF(Ideas!N2:N51,"Approved"))/COUNTA(Ideas!A2:A51)</f>
        <v>0.34</v>
      </c>
    </row>
    <row r="8" spans="1:4" ht="15" customHeight="1" x14ac:dyDescent="0.3">
      <c r="A8" s="1" t="s">
        <v>6</v>
      </c>
      <c r="C8" s="4">
        <f>AVERAGE(Ideas!H2:H51)</f>
        <v>0.31619215587331617</v>
      </c>
    </row>
    <row r="10" spans="1:4" ht="15" customHeight="1" x14ac:dyDescent="0.3">
      <c r="A10" s="5" t="s">
        <v>7</v>
      </c>
    </row>
    <row r="11" spans="1:4" ht="15" customHeight="1" x14ac:dyDescent="0.3">
      <c r="A11" s="6" t="s">
        <v>8</v>
      </c>
      <c r="B11" s="6" t="s">
        <v>9</v>
      </c>
      <c r="C11" s="6" t="s">
        <v>10</v>
      </c>
      <c r="D11" s="6" t="s">
        <v>11</v>
      </c>
    </row>
    <row r="12" spans="1:4" ht="15" customHeight="1" x14ac:dyDescent="0.3">
      <c r="A12" t="s">
        <v>12</v>
      </c>
      <c r="B12" s="2">
        <f>SUMIF(Ideas!$E$2:$E$51,A12,Ideas!$F$2:$F$51)</f>
        <v>306</v>
      </c>
      <c r="C12">
        <f>COUNTIF(Ideas!$E$2:$E$51,A12)</f>
        <v>5</v>
      </c>
      <c r="D12" s="4">
        <f>AVERAGEIF(Ideas!$E$2:$E$51,A12,Ideas!$M$2:$M$51)</f>
        <v>3.0100000000000002</v>
      </c>
    </row>
    <row r="13" spans="1:4" ht="15" customHeight="1" x14ac:dyDescent="0.3">
      <c r="A13" t="s">
        <v>13</v>
      </c>
      <c r="B13" s="2">
        <f>SUMIF(Ideas!$E$2:$E$51,A13,Ideas!$F$2:$F$51)</f>
        <v>783</v>
      </c>
      <c r="C13">
        <f>COUNTIF(Ideas!$E$2:$E$51,A13)</f>
        <v>5</v>
      </c>
      <c r="D13" s="4">
        <f>AVERAGEIF(Ideas!$E$2:$E$51,A13,Ideas!$M$2:$M$51)</f>
        <v>3.3299999999999996</v>
      </c>
    </row>
    <row r="14" spans="1:4" ht="15" customHeight="1" x14ac:dyDescent="0.3">
      <c r="A14" t="s">
        <v>14</v>
      </c>
      <c r="B14" s="2">
        <f>SUMIF(Ideas!$E$2:$E$51,A14,Ideas!$F$2:$F$51)</f>
        <v>376</v>
      </c>
      <c r="C14">
        <f>COUNTIF(Ideas!$E$2:$E$51,A14)</f>
        <v>5</v>
      </c>
      <c r="D14" s="4">
        <f>AVERAGEIF(Ideas!$E$2:$E$51,A14,Ideas!$M$2:$M$51)</f>
        <v>2.8800000000000003</v>
      </c>
    </row>
    <row r="15" spans="1:4" ht="15" customHeight="1" x14ac:dyDescent="0.3">
      <c r="A15" t="s">
        <v>15</v>
      </c>
      <c r="B15" s="2">
        <f>SUMIF(Ideas!$E$2:$E$51,A15,Ideas!$F$2:$F$51)</f>
        <v>375</v>
      </c>
      <c r="C15">
        <f>COUNTIF(Ideas!$E$2:$E$51,A15)</f>
        <v>5</v>
      </c>
      <c r="D15" s="4">
        <f>AVERAGEIF(Ideas!$E$2:$E$51,A15,Ideas!$M$2:$M$51)</f>
        <v>3.15</v>
      </c>
    </row>
    <row r="16" spans="1:4" ht="15" customHeight="1" x14ac:dyDescent="0.3">
      <c r="A16" t="s">
        <v>16</v>
      </c>
      <c r="B16" s="2">
        <f>SUMIF(Ideas!$E$2:$E$51,A16,Ideas!$F$2:$F$51)</f>
        <v>168</v>
      </c>
      <c r="C16">
        <f>COUNTIF(Ideas!$E$2:$E$51,A16)</f>
        <v>5</v>
      </c>
      <c r="D16" s="4">
        <f>AVERAGEIF(Ideas!$E$2:$E$51,A16,Ideas!$M$2:$M$51)</f>
        <v>2.68</v>
      </c>
    </row>
    <row r="17" spans="1:4" ht="15" customHeight="1" x14ac:dyDescent="0.3">
      <c r="A17" t="s">
        <v>17</v>
      </c>
      <c r="B17" s="2">
        <f>SUMIF(Ideas!$E$2:$E$51,A17,Ideas!$F$2:$F$51)</f>
        <v>612</v>
      </c>
      <c r="C17">
        <f>COUNTIF(Ideas!$E$2:$E$51,A17)</f>
        <v>5</v>
      </c>
      <c r="D17" s="4">
        <f>AVERAGEIF(Ideas!$E$2:$E$51,A17,Ideas!$M$2:$M$51)</f>
        <v>3.7600000000000002</v>
      </c>
    </row>
    <row r="18" spans="1:4" ht="15" customHeight="1" x14ac:dyDescent="0.3">
      <c r="A18" t="s">
        <v>18</v>
      </c>
      <c r="B18" s="2">
        <f>SUMIF(Ideas!$E$2:$E$51,A18,Ideas!$F$2:$F$51)</f>
        <v>1053</v>
      </c>
      <c r="C18">
        <f>COUNTIF(Ideas!$E$2:$E$51,A18)</f>
        <v>5</v>
      </c>
      <c r="D18" s="4">
        <f>AVERAGEIF(Ideas!$E$2:$E$51,A18,Ideas!$M$2:$M$51)</f>
        <v>3.9800000000000004</v>
      </c>
    </row>
    <row r="19" spans="1:4" ht="15" customHeight="1" x14ac:dyDescent="0.3">
      <c r="A19" t="s">
        <v>19</v>
      </c>
      <c r="B19" s="2">
        <f>SUMIF(Ideas!$E$2:$E$51,A19,Ideas!$F$2:$F$51)</f>
        <v>412</v>
      </c>
      <c r="C19">
        <f>COUNTIF(Ideas!$E$2:$E$51,A19)</f>
        <v>5</v>
      </c>
      <c r="D19" s="4">
        <f>AVERAGEIF(Ideas!$E$2:$E$51,A19,Ideas!$M$2:$M$51)</f>
        <v>3.5900000000000007</v>
      </c>
    </row>
    <row r="20" spans="1:4" ht="15" customHeight="1" x14ac:dyDescent="0.3">
      <c r="A20" t="s">
        <v>20</v>
      </c>
      <c r="B20" s="2">
        <f>SUMIF(Ideas!$E$2:$E$51,A20,Ideas!$F$2:$F$51)</f>
        <v>359</v>
      </c>
      <c r="C20">
        <f>COUNTIF(Ideas!$E$2:$E$51,A20)</f>
        <v>5</v>
      </c>
      <c r="D20" s="4">
        <f>AVERAGEIF(Ideas!$E$2:$E$51,A20,Ideas!$M$2:$M$51)</f>
        <v>3.1700000000000004</v>
      </c>
    </row>
    <row r="21" spans="1:4" ht="15" customHeight="1" x14ac:dyDescent="0.3">
      <c r="A21" t="s">
        <v>21</v>
      </c>
      <c r="B21" s="2">
        <f>SUMIF(Ideas!$E$2:$E$51,A21,Ideas!$F$2:$F$51)</f>
        <v>598</v>
      </c>
      <c r="C21">
        <f>COUNTIF(Ideas!$E$2:$E$51,A21)</f>
        <v>5</v>
      </c>
      <c r="D21" s="4">
        <f>AVERAGEIF(Ideas!$E$2:$E$51,A21,Ideas!$M$2:$M$51)</f>
        <v>3.47</v>
      </c>
    </row>
    <row r="23" spans="1:4" ht="15" customHeight="1" x14ac:dyDescent="0.3">
      <c r="A23" s="5" t="s">
        <v>22</v>
      </c>
    </row>
    <row r="24" spans="1:4" ht="15" customHeight="1" x14ac:dyDescent="0.3">
      <c r="A24" s="6" t="s">
        <v>23</v>
      </c>
      <c r="B24" s="6" t="s">
        <v>9</v>
      </c>
    </row>
    <row r="25" spans="1:4" ht="15" customHeight="1" x14ac:dyDescent="0.3">
      <c r="A25" t="s">
        <v>24</v>
      </c>
      <c r="B25" s="2">
        <f>SUMIF(Ideas!$O$2:$O$51,A25,Ideas!$F$2:$F$51)</f>
        <v>810</v>
      </c>
    </row>
    <row r="26" spans="1:4" ht="15" customHeight="1" x14ac:dyDescent="0.3">
      <c r="A26" t="s">
        <v>25</v>
      </c>
      <c r="B26" s="2">
        <f>SUMIF(Ideas!$O$2:$O$51,A26,Ideas!$F$2:$F$51)</f>
        <v>1013</v>
      </c>
    </row>
    <row r="27" spans="1:4" ht="15" customHeight="1" x14ac:dyDescent="0.3">
      <c r="A27" t="s">
        <v>26</v>
      </c>
      <c r="B27" s="2">
        <f>SUMIF(Ideas!$O$2:$O$51,A27,Ideas!$F$2:$F$51)</f>
        <v>1655</v>
      </c>
    </row>
    <row r="28" spans="1:4" ht="15" customHeight="1" x14ac:dyDescent="0.3">
      <c r="A28" t="s">
        <v>27</v>
      </c>
      <c r="B28" s="2">
        <f>SUMIF(Ideas!$O$2:$O$51,A28,Ideas!$F$2:$F$51)</f>
        <v>1564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opLeftCell="A6" zoomScaleNormal="100" workbookViewId="0">
      <selection activeCell="A14" sqref="A14:B14"/>
    </sheetView>
  </sheetViews>
  <sheetFormatPr defaultColWidth="8.6640625" defaultRowHeight="14.4" x14ac:dyDescent="0.3"/>
  <cols>
    <col min="1" max="1" width="44.44140625" bestFit="1" customWidth="1"/>
    <col min="2" max="2" width="14" customWidth="1"/>
  </cols>
  <sheetData>
    <row r="1" spans="1:2" ht="16.2" customHeight="1" x14ac:dyDescent="0.3">
      <c r="A1" s="7" t="s">
        <v>28</v>
      </c>
    </row>
    <row r="3" spans="1:2" ht="15" customHeight="1" x14ac:dyDescent="0.3">
      <c r="A3" t="s">
        <v>29</v>
      </c>
      <c r="B3" s="12">
        <v>0.4</v>
      </c>
    </row>
    <row r="4" spans="1:2" ht="15" customHeight="1" x14ac:dyDescent="0.3">
      <c r="A4" t="s">
        <v>30</v>
      </c>
      <c r="B4" s="12">
        <v>0.25</v>
      </c>
    </row>
    <row r="5" spans="1:2" ht="15" customHeight="1" x14ac:dyDescent="0.3">
      <c r="A5" t="s">
        <v>31</v>
      </c>
      <c r="B5" s="12">
        <v>0.2</v>
      </c>
    </row>
    <row r="6" spans="1:2" ht="15" customHeight="1" x14ac:dyDescent="0.3">
      <c r="A6" t="s">
        <v>32</v>
      </c>
      <c r="B6" s="12">
        <v>0.15</v>
      </c>
    </row>
    <row r="7" spans="1:2" ht="15" customHeight="1" x14ac:dyDescent="0.3">
      <c r="A7" s="1" t="s">
        <v>33</v>
      </c>
      <c r="B7" s="8">
        <f>SUM(B3:B6)</f>
        <v>1</v>
      </c>
    </row>
    <row r="9" spans="1:2" ht="15" customHeight="1" x14ac:dyDescent="0.3">
      <c r="A9" s="1" t="s">
        <v>34</v>
      </c>
    </row>
    <row r="10" spans="1:2" ht="15" customHeight="1" x14ac:dyDescent="0.3">
      <c r="A10" t="s">
        <v>35</v>
      </c>
      <c r="B10" s="12">
        <v>300</v>
      </c>
    </row>
    <row r="11" spans="1:2" ht="15" customHeight="1" x14ac:dyDescent="0.3">
      <c r="A11" t="s">
        <v>36</v>
      </c>
      <c r="B11" s="12">
        <v>150</v>
      </c>
    </row>
    <row r="12" spans="1:2" ht="15" customHeight="1" x14ac:dyDescent="0.3">
      <c r="A12" t="s">
        <v>37</v>
      </c>
      <c r="B12" s="12">
        <v>75</v>
      </c>
    </row>
    <row r="13" spans="1:2" ht="15" customHeight="1" x14ac:dyDescent="0.3">
      <c r="A13" t="s">
        <v>38</v>
      </c>
      <c r="B13" s="12">
        <v>30</v>
      </c>
    </row>
    <row r="14" spans="1:2" ht="15" customHeight="1" x14ac:dyDescent="0.3">
      <c r="A14" t="s">
        <v>39</v>
      </c>
      <c r="B14" s="12">
        <v>30</v>
      </c>
    </row>
    <row r="16" spans="1:2" ht="15" customHeight="1" x14ac:dyDescent="0.3">
      <c r="A16" s="1" t="s">
        <v>40</v>
      </c>
    </row>
    <row r="17" spans="1:2" ht="15" customHeight="1" x14ac:dyDescent="0.3">
      <c r="A17" t="s">
        <v>41</v>
      </c>
      <c r="B17" s="12">
        <v>0.3</v>
      </c>
    </row>
    <row r="18" spans="1:2" ht="15" customHeight="1" x14ac:dyDescent="0.3">
      <c r="A18" t="s">
        <v>42</v>
      </c>
      <c r="B18" s="12">
        <v>0.6</v>
      </c>
    </row>
    <row r="19" spans="1:2" ht="15" customHeight="1" x14ac:dyDescent="0.3">
      <c r="A19" t="s">
        <v>43</v>
      </c>
      <c r="B19" s="12">
        <v>1</v>
      </c>
    </row>
    <row r="20" spans="1:2" ht="15" customHeight="1" x14ac:dyDescent="0.3">
      <c r="A20" t="s">
        <v>44</v>
      </c>
      <c r="B20" s="12">
        <v>2</v>
      </c>
    </row>
    <row r="21" spans="1:2" ht="15" customHeight="1" x14ac:dyDescent="0.3">
      <c r="A21" t="s">
        <v>45</v>
      </c>
      <c r="B21" s="12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tabSelected="1" zoomScaleNormal="100" workbookViewId="0">
      <pane ySplit="1" topLeftCell="A2" activePane="bottomLeft" state="frozen"/>
      <selection pane="bottomLeft" activeCell="B21" sqref="B21"/>
    </sheetView>
  </sheetViews>
  <sheetFormatPr defaultColWidth="8.6640625" defaultRowHeight="14.4" x14ac:dyDescent="0.3"/>
  <cols>
    <col min="1" max="1" width="10" customWidth="1"/>
    <col min="2" max="2" width="46" customWidth="1"/>
    <col min="3" max="3" width="20" customWidth="1"/>
    <col min="4" max="4" width="14" customWidth="1"/>
    <col min="5" max="5" width="22" customWidth="1"/>
    <col min="6" max="7" width="16" customWidth="1"/>
    <col min="8" max="8" width="14" customWidth="1"/>
    <col min="9" max="9" width="12" customWidth="1"/>
    <col min="10" max="10" width="14" customWidth="1"/>
    <col min="11" max="13" width="12" customWidth="1"/>
    <col min="14" max="15" width="14" customWidth="1"/>
  </cols>
  <sheetData>
    <row r="1" spans="1:15" ht="41.7" customHeight="1" x14ac:dyDescent="0.3">
      <c r="A1" s="9" t="s">
        <v>46</v>
      </c>
      <c r="B1" s="9" t="s">
        <v>47</v>
      </c>
      <c r="C1" s="9" t="s">
        <v>48</v>
      </c>
      <c r="D1" s="9" t="s">
        <v>49</v>
      </c>
      <c r="E1" s="9" t="s">
        <v>8</v>
      </c>
      <c r="F1" s="9" t="s">
        <v>50</v>
      </c>
      <c r="G1" s="9" t="s">
        <v>51</v>
      </c>
      <c r="H1" s="9" t="s">
        <v>52</v>
      </c>
      <c r="I1" s="9" t="s">
        <v>53</v>
      </c>
      <c r="J1" s="9" t="s">
        <v>54</v>
      </c>
      <c r="K1" s="9" t="s">
        <v>55</v>
      </c>
      <c r="L1" s="9" t="s">
        <v>56</v>
      </c>
      <c r="M1" s="9" t="s">
        <v>57</v>
      </c>
      <c r="N1" s="9" t="s">
        <v>58</v>
      </c>
      <c r="O1" s="9" t="s">
        <v>59</v>
      </c>
    </row>
    <row r="2" spans="1:15" ht="15" customHeight="1" x14ac:dyDescent="0.3">
      <c r="A2" s="10" t="s">
        <v>60</v>
      </c>
      <c r="B2" s="10" t="s">
        <v>61</v>
      </c>
      <c r="C2" s="10" t="s">
        <v>62</v>
      </c>
      <c r="D2" s="10" t="s">
        <v>63</v>
      </c>
      <c r="E2" s="10" t="s">
        <v>17</v>
      </c>
      <c r="F2" s="13">
        <v>145</v>
      </c>
      <c r="G2" s="13">
        <v>38</v>
      </c>
      <c r="H2" s="11">
        <f t="shared" ref="H2:H33" si="0">G2/F2</f>
        <v>0.2620689655172414</v>
      </c>
      <c r="I2" s="14">
        <v>3</v>
      </c>
      <c r="J2" s="14">
        <v>5</v>
      </c>
      <c r="K2" s="15">
        <f>IF(F2&gt;=Assumptions!$B$10,5,IF(F2&gt;=Assumptions!$B$11,4,IF(F2&gt;=Assumptions!$B$12,3,IF(F2&gt;=Assumptions!$B$13,2,1))))</f>
        <v>3</v>
      </c>
      <c r="L2" s="15">
        <f>IF(H2&lt;=Assumptions!$B$17,5,IF(H2&lt;=Assumptions!$B$18,4,IF(H2&lt;=Assumptions!$B$19,3,IF(H2&lt;=Assumptions!$B$20,2,1))))</f>
        <v>5</v>
      </c>
      <c r="M2" s="11">
        <f>(K2*Assumptions!$B$3)+(L2*Assumptions!$B$4)+(I2*Assumptions!$B$5)+(J2*Assumptions!$B$6)</f>
        <v>3.8000000000000003</v>
      </c>
      <c r="N2" s="10" t="s">
        <v>64</v>
      </c>
      <c r="O2" s="10" t="s">
        <v>25</v>
      </c>
    </row>
    <row r="3" spans="1:15" ht="15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17</v>
      </c>
      <c r="F3" s="13">
        <v>210</v>
      </c>
      <c r="G3" s="13">
        <v>60</v>
      </c>
      <c r="H3" s="11">
        <f t="shared" si="0"/>
        <v>0.2857142857142857</v>
      </c>
      <c r="I3" s="14">
        <v>2</v>
      </c>
      <c r="J3" s="14">
        <v>4</v>
      </c>
      <c r="K3" s="15">
        <f>IF(F3&gt;=Assumptions!$B$10,5,IF(F3&gt;=Assumptions!$B$11,4,IF(F3&gt;=Assumptions!$B$12,3,IF(F3&gt;=Assumptions!$B$13,2,1))))</f>
        <v>4</v>
      </c>
      <c r="L3" s="15">
        <f>IF(H3&lt;=Assumptions!$B$17,5,IF(H3&lt;=Assumptions!$B$18,4,IF(H3&lt;=Assumptions!$B$19,3,IF(H3&lt;=Assumptions!$B$20,2,1))))</f>
        <v>5</v>
      </c>
      <c r="M3" s="11">
        <f>(K3*Assumptions!$B$3)+(L3*Assumptions!$B$4)+(I3*Assumptions!$B$5)+(J3*Assumptions!$B$6)</f>
        <v>3.85</v>
      </c>
      <c r="N3" s="10" t="s">
        <v>69</v>
      </c>
      <c r="O3" s="10" t="s">
        <v>26</v>
      </c>
    </row>
    <row r="4" spans="1:15" ht="15" customHeight="1" x14ac:dyDescent="0.3">
      <c r="A4" s="10" t="s">
        <v>70</v>
      </c>
      <c r="B4" s="10" t="s">
        <v>71</v>
      </c>
      <c r="C4" s="10" t="s">
        <v>72</v>
      </c>
      <c r="D4" s="10" t="s">
        <v>73</v>
      </c>
      <c r="E4" s="10" t="s">
        <v>17</v>
      </c>
      <c r="F4" s="13">
        <v>95</v>
      </c>
      <c r="G4" s="13">
        <v>15</v>
      </c>
      <c r="H4" s="11">
        <f t="shared" si="0"/>
        <v>0.15789473684210525</v>
      </c>
      <c r="I4" s="14">
        <v>4</v>
      </c>
      <c r="J4" s="14">
        <v>4</v>
      </c>
      <c r="K4" s="15">
        <f>IF(F4&gt;=Assumptions!$B$10,5,IF(F4&gt;=Assumptions!$B$11,4,IF(F4&gt;=Assumptions!$B$12,3,IF(F4&gt;=Assumptions!$B$13,2,1))))</f>
        <v>3</v>
      </c>
      <c r="L4" s="15">
        <f>IF(H4&lt;=Assumptions!$B$17,5,IF(H4&lt;=Assumptions!$B$18,4,IF(H4&lt;=Assumptions!$B$19,3,IF(H4&lt;=Assumptions!$B$20,2,1))))</f>
        <v>5</v>
      </c>
      <c r="M4" s="11">
        <f>(K4*Assumptions!$B$3)+(L4*Assumptions!$B$4)+(I4*Assumptions!$B$5)+(J4*Assumptions!$B$6)</f>
        <v>3.85</v>
      </c>
      <c r="N4" s="10" t="s">
        <v>74</v>
      </c>
      <c r="O4" s="10" t="s">
        <v>24</v>
      </c>
    </row>
    <row r="5" spans="1:15" ht="15" customHeight="1" x14ac:dyDescent="0.3">
      <c r="A5" s="10" t="s">
        <v>75</v>
      </c>
      <c r="B5" s="10" t="s">
        <v>76</v>
      </c>
      <c r="C5" s="10" t="s">
        <v>77</v>
      </c>
      <c r="D5" s="10" t="s">
        <v>78</v>
      </c>
      <c r="E5" s="10" t="s">
        <v>17</v>
      </c>
      <c r="F5" s="13">
        <v>120</v>
      </c>
      <c r="G5" s="13">
        <v>25</v>
      </c>
      <c r="H5" s="11">
        <f t="shared" si="0"/>
        <v>0.20833333333333334</v>
      </c>
      <c r="I5" s="14">
        <v>3</v>
      </c>
      <c r="J5" s="14">
        <v>5</v>
      </c>
      <c r="K5" s="15">
        <f>IF(F5&gt;=Assumptions!$B$10,5,IF(F5&gt;=Assumptions!$B$11,4,IF(F5&gt;=Assumptions!$B$12,3,IF(F5&gt;=Assumptions!$B$13,2,1))))</f>
        <v>3</v>
      </c>
      <c r="L5" s="15">
        <f>IF(H5&lt;=Assumptions!$B$17,5,IF(H5&lt;=Assumptions!$B$18,4,IF(H5&lt;=Assumptions!$B$19,3,IF(H5&lt;=Assumptions!$B$20,2,1))))</f>
        <v>5</v>
      </c>
      <c r="M5" s="11">
        <f>(K5*Assumptions!$B$3)+(L5*Assumptions!$B$4)+(I5*Assumptions!$B$5)+(J5*Assumptions!$B$6)</f>
        <v>3.8000000000000003</v>
      </c>
      <c r="N5" s="10" t="s">
        <v>79</v>
      </c>
      <c r="O5" s="10" t="s">
        <v>26</v>
      </c>
    </row>
    <row r="6" spans="1:15" ht="15" customHeight="1" x14ac:dyDescent="0.3">
      <c r="A6" s="10" t="s">
        <v>80</v>
      </c>
      <c r="B6" s="10" t="s">
        <v>81</v>
      </c>
      <c r="C6" s="10" t="s">
        <v>82</v>
      </c>
      <c r="D6" s="10" t="s">
        <v>83</v>
      </c>
      <c r="E6" s="10" t="s">
        <v>17</v>
      </c>
      <c r="F6" s="13">
        <v>42</v>
      </c>
      <c r="G6" s="13">
        <v>8</v>
      </c>
      <c r="H6" s="11">
        <f t="shared" si="0"/>
        <v>0.19047619047619047</v>
      </c>
      <c r="I6" s="14">
        <v>5</v>
      </c>
      <c r="J6" s="14">
        <v>3</v>
      </c>
      <c r="K6" s="15">
        <f>IF(F6&gt;=Assumptions!$B$10,5,IF(F6&gt;=Assumptions!$B$11,4,IF(F6&gt;=Assumptions!$B$12,3,IF(F6&gt;=Assumptions!$B$13,2,1))))</f>
        <v>2</v>
      </c>
      <c r="L6" s="15">
        <f>IF(H6&lt;=Assumptions!$B$17,5,IF(H6&lt;=Assumptions!$B$18,4,IF(H6&lt;=Assumptions!$B$19,3,IF(H6&lt;=Assumptions!$B$20,2,1))))</f>
        <v>5</v>
      </c>
      <c r="M6" s="11">
        <f>(K6*Assumptions!$B$3)+(L6*Assumptions!$B$4)+(I6*Assumptions!$B$5)+(J6*Assumptions!$B$6)</f>
        <v>3.5</v>
      </c>
      <c r="N6" s="10" t="s">
        <v>74</v>
      </c>
      <c r="O6" s="10" t="s">
        <v>24</v>
      </c>
    </row>
    <row r="7" spans="1:15" ht="15" customHeight="1" x14ac:dyDescent="0.3">
      <c r="A7" s="10" t="s">
        <v>84</v>
      </c>
      <c r="B7" s="10" t="s">
        <v>85</v>
      </c>
      <c r="C7" s="10" t="s">
        <v>86</v>
      </c>
      <c r="D7" s="10" t="s">
        <v>87</v>
      </c>
      <c r="E7" s="10" t="s">
        <v>21</v>
      </c>
      <c r="F7" s="13">
        <v>180</v>
      </c>
      <c r="G7" s="13">
        <v>45</v>
      </c>
      <c r="H7" s="11">
        <f t="shared" si="0"/>
        <v>0.25</v>
      </c>
      <c r="I7" s="14">
        <v>3</v>
      </c>
      <c r="J7" s="14">
        <v>4</v>
      </c>
      <c r="K7" s="15">
        <f>IF(F7&gt;=Assumptions!$B$10,5,IF(F7&gt;=Assumptions!$B$11,4,IF(F7&gt;=Assumptions!$B$12,3,IF(F7&gt;=Assumptions!$B$13,2,1))))</f>
        <v>4</v>
      </c>
      <c r="L7" s="15">
        <f>IF(H7&lt;=Assumptions!$B$17,5,IF(H7&lt;=Assumptions!$B$18,4,IF(H7&lt;=Assumptions!$B$19,3,IF(H7&lt;=Assumptions!$B$20,2,1))))</f>
        <v>5</v>
      </c>
      <c r="M7" s="11">
        <f>(K7*Assumptions!$B$3)+(L7*Assumptions!$B$4)+(I7*Assumptions!$B$5)+(J7*Assumptions!$B$6)</f>
        <v>4.05</v>
      </c>
      <c r="N7" s="10" t="s">
        <v>69</v>
      </c>
      <c r="O7" s="10" t="s">
        <v>25</v>
      </c>
    </row>
    <row r="8" spans="1:15" ht="15" customHeight="1" x14ac:dyDescent="0.3">
      <c r="A8" s="10" t="s">
        <v>88</v>
      </c>
      <c r="B8" s="10" t="s">
        <v>89</v>
      </c>
      <c r="C8" s="10" t="s">
        <v>86</v>
      </c>
      <c r="D8" s="10" t="s">
        <v>90</v>
      </c>
      <c r="E8" s="10" t="s">
        <v>21</v>
      </c>
      <c r="F8" s="13">
        <v>68</v>
      </c>
      <c r="G8" s="13">
        <v>20</v>
      </c>
      <c r="H8" s="11">
        <f t="shared" si="0"/>
        <v>0.29411764705882354</v>
      </c>
      <c r="I8" s="14">
        <v>3</v>
      </c>
      <c r="J8" s="14">
        <v>3</v>
      </c>
      <c r="K8" s="15">
        <f>IF(F8&gt;=Assumptions!$B$10,5,IF(F8&gt;=Assumptions!$B$11,4,IF(F8&gt;=Assumptions!$B$12,3,IF(F8&gt;=Assumptions!$B$13,2,1))))</f>
        <v>2</v>
      </c>
      <c r="L8" s="15">
        <f>IF(H8&lt;=Assumptions!$B$17,5,IF(H8&lt;=Assumptions!$B$18,4,IF(H8&lt;=Assumptions!$B$19,3,IF(H8&lt;=Assumptions!$B$20,2,1))))</f>
        <v>5</v>
      </c>
      <c r="M8" s="11">
        <f>(K8*Assumptions!$B$3)+(L8*Assumptions!$B$4)+(I8*Assumptions!$B$5)+(J8*Assumptions!$B$6)</f>
        <v>3.0999999999999996</v>
      </c>
      <c r="N8" s="10" t="s">
        <v>64</v>
      </c>
      <c r="O8" s="10" t="s">
        <v>25</v>
      </c>
    </row>
    <row r="9" spans="1:15" ht="15" customHeight="1" x14ac:dyDescent="0.3">
      <c r="A9" s="10" t="s">
        <v>91</v>
      </c>
      <c r="B9" s="10" t="s">
        <v>92</v>
      </c>
      <c r="C9" s="10" t="s">
        <v>86</v>
      </c>
      <c r="D9" s="10" t="s">
        <v>93</v>
      </c>
      <c r="E9" s="10" t="s">
        <v>21</v>
      </c>
      <c r="F9" s="13">
        <v>35</v>
      </c>
      <c r="G9" s="13">
        <v>6</v>
      </c>
      <c r="H9" s="11">
        <f t="shared" si="0"/>
        <v>0.17142857142857143</v>
      </c>
      <c r="I9" s="14">
        <v>5</v>
      </c>
      <c r="J9" s="14">
        <v>2</v>
      </c>
      <c r="K9" s="15">
        <f>IF(F9&gt;=Assumptions!$B$10,5,IF(F9&gt;=Assumptions!$B$11,4,IF(F9&gt;=Assumptions!$B$12,3,IF(F9&gt;=Assumptions!$B$13,2,1))))</f>
        <v>2</v>
      </c>
      <c r="L9" s="15">
        <f>IF(H9&lt;=Assumptions!$B$17,5,IF(H9&lt;=Assumptions!$B$18,4,IF(H9&lt;=Assumptions!$B$19,3,IF(H9&lt;=Assumptions!$B$20,2,1))))</f>
        <v>5</v>
      </c>
      <c r="M9" s="11">
        <f>(K9*Assumptions!$B$3)+(L9*Assumptions!$B$4)+(I9*Assumptions!$B$5)+(J9*Assumptions!$B$6)</f>
        <v>3.3499999999999996</v>
      </c>
      <c r="N9" s="10" t="s">
        <v>74</v>
      </c>
      <c r="O9" s="10" t="s">
        <v>24</v>
      </c>
    </row>
    <row r="10" spans="1:15" ht="15" customHeight="1" x14ac:dyDescent="0.3">
      <c r="A10" s="10" t="s">
        <v>94</v>
      </c>
      <c r="B10" s="10" t="s">
        <v>95</v>
      </c>
      <c r="C10" s="10" t="s">
        <v>86</v>
      </c>
      <c r="D10" s="10" t="s">
        <v>96</v>
      </c>
      <c r="E10" s="10" t="s">
        <v>21</v>
      </c>
      <c r="F10" s="13">
        <v>260</v>
      </c>
      <c r="G10" s="13">
        <v>30</v>
      </c>
      <c r="H10" s="11">
        <f t="shared" si="0"/>
        <v>0.11538461538461539</v>
      </c>
      <c r="I10" s="14">
        <v>3</v>
      </c>
      <c r="J10" s="14">
        <v>5</v>
      </c>
      <c r="K10" s="15">
        <f>IF(F10&gt;=Assumptions!$B$10,5,IF(F10&gt;=Assumptions!$B$11,4,IF(F10&gt;=Assumptions!$B$12,3,IF(F10&gt;=Assumptions!$B$13,2,1))))</f>
        <v>4</v>
      </c>
      <c r="L10" s="15">
        <f>IF(H10&lt;=Assumptions!$B$17,5,IF(H10&lt;=Assumptions!$B$18,4,IF(H10&lt;=Assumptions!$B$19,3,IF(H10&lt;=Assumptions!$B$20,2,1))))</f>
        <v>5</v>
      </c>
      <c r="M10" s="11">
        <f>(K10*Assumptions!$B$3)+(L10*Assumptions!$B$4)+(I10*Assumptions!$B$5)+(J10*Assumptions!$B$6)</f>
        <v>4.2</v>
      </c>
      <c r="N10" s="10" t="s">
        <v>79</v>
      </c>
      <c r="O10" s="10" t="s">
        <v>27</v>
      </c>
    </row>
    <row r="11" spans="1:15" ht="15" customHeight="1" x14ac:dyDescent="0.3">
      <c r="A11" s="10" t="s">
        <v>97</v>
      </c>
      <c r="B11" s="10" t="s">
        <v>98</v>
      </c>
      <c r="C11" s="10" t="s">
        <v>86</v>
      </c>
      <c r="D11" s="10" t="s">
        <v>87</v>
      </c>
      <c r="E11" s="10" t="s">
        <v>21</v>
      </c>
      <c r="F11" s="13">
        <v>55</v>
      </c>
      <c r="G11" s="13">
        <v>22</v>
      </c>
      <c r="H11" s="11">
        <f t="shared" si="0"/>
        <v>0.4</v>
      </c>
      <c r="I11" s="14">
        <v>2</v>
      </c>
      <c r="J11" s="14">
        <v>3</v>
      </c>
      <c r="K11" s="15">
        <f>IF(F11&gt;=Assumptions!$B$10,5,IF(F11&gt;=Assumptions!$B$11,4,IF(F11&gt;=Assumptions!$B$12,3,IF(F11&gt;=Assumptions!$B$13,2,1))))</f>
        <v>2</v>
      </c>
      <c r="L11" s="15">
        <f>IF(H11&lt;=Assumptions!$B$17,5,IF(H11&lt;=Assumptions!$B$18,4,IF(H11&lt;=Assumptions!$B$19,3,IF(H11&lt;=Assumptions!$B$20,2,1))))</f>
        <v>4</v>
      </c>
      <c r="M11" s="11">
        <f>(K11*Assumptions!$B$3)+(L11*Assumptions!$B$4)+(I11*Assumptions!$B$5)+(J11*Assumptions!$B$6)</f>
        <v>2.6500000000000004</v>
      </c>
      <c r="N11" s="10" t="s">
        <v>99</v>
      </c>
      <c r="O11" s="10" t="s">
        <v>27</v>
      </c>
    </row>
    <row r="12" spans="1:15" ht="15" customHeight="1" x14ac:dyDescent="0.3">
      <c r="A12" s="10" t="s">
        <v>100</v>
      </c>
      <c r="B12" s="10" t="s">
        <v>101</v>
      </c>
      <c r="C12" s="10" t="s">
        <v>102</v>
      </c>
      <c r="D12" s="10" t="s">
        <v>103</v>
      </c>
      <c r="E12" s="10" t="s">
        <v>18</v>
      </c>
      <c r="F12" s="13">
        <v>320</v>
      </c>
      <c r="G12" s="13">
        <v>55</v>
      </c>
      <c r="H12" s="11">
        <f t="shared" si="0"/>
        <v>0.171875</v>
      </c>
      <c r="I12" s="14">
        <v>2</v>
      </c>
      <c r="J12" s="14">
        <v>5</v>
      </c>
      <c r="K12" s="15">
        <f>IF(F12&gt;=Assumptions!$B$10,5,IF(F12&gt;=Assumptions!$B$11,4,IF(F12&gt;=Assumptions!$B$12,3,IF(F12&gt;=Assumptions!$B$13,2,1))))</f>
        <v>5</v>
      </c>
      <c r="L12" s="15">
        <f>IF(H12&lt;=Assumptions!$B$17,5,IF(H12&lt;=Assumptions!$B$18,4,IF(H12&lt;=Assumptions!$B$19,3,IF(H12&lt;=Assumptions!$B$20,2,1))))</f>
        <v>5</v>
      </c>
      <c r="M12" s="11">
        <f>(K12*Assumptions!$B$3)+(L12*Assumptions!$B$4)+(I12*Assumptions!$B$5)+(J12*Assumptions!$B$6)</f>
        <v>4.4000000000000004</v>
      </c>
      <c r="N12" s="10" t="s">
        <v>69</v>
      </c>
      <c r="O12" s="10" t="s">
        <v>26</v>
      </c>
    </row>
    <row r="13" spans="1:15" ht="15" customHeight="1" x14ac:dyDescent="0.3">
      <c r="A13" s="10" t="s">
        <v>104</v>
      </c>
      <c r="B13" s="10" t="s">
        <v>105</v>
      </c>
      <c r="C13" s="10" t="s">
        <v>102</v>
      </c>
      <c r="D13" s="10" t="s">
        <v>106</v>
      </c>
      <c r="E13" s="10" t="s">
        <v>18</v>
      </c>
      <c r="F13" s="13">
        <v>88</v>
      </c>
      <c r="G13" s="13">
        <v>12</v>
      </c>
      <c r="H13" s="11">
        <f t="shared" si="0"/>
        <v>0.13636363636363635</v>
      </c>
      <c r="I13" s="14">
        <v>4</v>
      </c>
      <c r="J13" s="14">
        <v>3</v>
      </c>
      <c r="K13" s="15">
        <f>IF(F13&gt;=Assumptions!$B$10,5,IF(F13&gt;=Assumptions!$B$11,4,IF(F13&gt;=Assumptions!$B$12,3,IF(F13&gt;=Assumptions!$B$13,2,1))))</f>
        <v>3</v>
      </c>
      <c r="L13" s="15">
        <f>IF(H13&lt;=Assumptions!$B$17,5,IF(H13&lt;=Assumptions!$B$18,4,IF(H13&lt;=Assumptions!$B$19,3,IF(H13&lt;=Assumptions!$B$20,2,1))))</f>
        <v>5</v>
      </c>
      <c r="M13" s="11">
        <f>(K13*Assumptions!$B$3)+(L13*Assumptions!$B$4)+(I13*Assumptions!$B$5)+(J13*Assumptions!$B$6)</f>
        <v>3.7</v>
      </c>
      <c r="N13" s="10" t="s">
        <v>64</v>
      </c>
      <c r="O13" s="10" t="s">
        <v>25</v>
      </c>
    </row>
    <row r="14" spans="1:15" ht="15" customHeight="1" x14ac:dyDescent="0.3">
      <c r="A14" s="10" t="s">
        <v>107</v>
      </c>
      <c r="B14" s="10" t="s">
        <v>108</v>
      </c>
      <c r="C14" s="10" t="s">
        <v>102</v>
      </c>
      <c r="D14" s="10" t="s">
        <v>103</v>
      </c>
      <c r="E14" s="10" t="s">
        <v>18</v>
      </c>
      <c r="F14" s="13">
        <v>410</v>
      </c>
      <c r="G14" s="13">
        <v>10</v>
      </c>
      <c r="H14" s="11">
        <f t="shared" si="0"/>
        <v>2.4390243902439025E-2</v>
      </c>
      <c r="I14" s="14">
        <v>4</v>
      </c>
      <c r="J14" s="14">
        <v>5</v>
      </c>
      <c r="K14" s="15">
        <f>IF(F14&gt;=Assumptions!$B$10,5,IF(F14&gt;=Assumptions!$B$11,4,IF(F14&gt;=Assumptions!$B$12,3,IF(F14&gt;=Assumptions!$B$13,2,1))))</f>
        <v>5</v>
      </c>
      <c r="L14" s="15">
        <f>IF(H14&lt;=Assumptions!$B$17,5,IF(H14&lt;=Assumptions!$B$18,4,IF(H14&lt;=Assumptions!$B$19,3,IF(H14&lt;=Assumptions!$B$20,2,1))))</f>
        <v>5</v>
      </c>
      <c r="M14" s="11">
        <f>(K14*Assumptions!$B$3)+(L14*Assumptions!$B$4)+(I14*Assumptions!$B$5)+(J14*Assumptions!$B$6)</f>
        <v>4.8</v>
      </c>
      <c r="N14" s="10" t="s">
        <v>74</v>
      </c>
      <c r="O14" s="10" t="s">
        <v>24</v>
      </c>
    </row>
    <row r="15" spans="1:15" ht="15" customHeight="1" x14ac:dyDescent="0.3">
      <c r="A15" s="10" t="s">
        <v>109</v>
      </c>
      <c r="B15" s="10" t="s">
        <v>110</v>
      </c>
      <c r="C15" s="10" t="s">
        <v>102</v>
      </c>
      <c r="D15" s="10" t="s">
        <v>111</v>
      </c>
      <c r="E15" s="10" t="s">
        <v>18</v>
      </c>
      <c r="F15" s="13">
        <v>175</v>
      </c>
      <c r="G15" s="13">
        <v>40</v>
      </c>
      <c r="H15" s="11">
        <f t="shared" si="0"/>
        <v>0.22857142857142856</v>
      </c>
      <c r="I15" s="14">
        <v>2</v>
      </c>
      <c r="J15" s="14">
        <v>4</v>
      </c>
      <c r="K15" s="15">
        <f>IF(F15&gt;=Assumptions!$B$10,5,IF(F15&gt;=Assumptions!$B$11,4,IF(F15&gt;=Assumptions!$B$12,3,IF(F15&gt;=Assumptions!$B$13,2,1))))</f>
        <v>4</v>
      </c>
      <c r="L15" s="15">
        <f>IF(H15&lt;=Assumptions!$B$17,5,IF(H15&lt;=Assumptions!$B$18,4,IF(H15&lt;=Assumptions!$B$19,3,IF(H15&lt;=Assumptions!$B$20,2,1))))</f>
        <v>5</v>
      </c>
      <c r="M15" s="11">
        <f>(K15*Assumptions!$B$3)+(L15*Assumptions!$B$4)+(I15*Assumptions!$B$5)+(J15*Assumptions!$B$6)</f>
        <v>3.85</v>
      </c>
      <c r="N15" s="10" t="s">
        <v>79</v>
      </c>
      <c r="O15" s="10" t="s">
        <v>26</v>
      </c>
    </row>
    <row r="16" spans="1:15" ht="15" customHeight="1" x14ac:dyDescent="0.3">
      <c r="A16" s="10" t="s">
        <v>112</v>
      </c>
      <c r="B16" s="10" t="s">
        <v>113</v>
      </c>
      <c r="C16" s="10" t="s">
        <v>102</v>
      </c>
      <c r="D16" s="10" t="s">
        <v>106</v>
      </c>
      <c r="E16" s="10" t="s">
        <v>18</v>
      </c>
      <c r="F16" s="13">
        <v>60</v>
      </c>
      <c r="G16" s="13">
        <v>9</v>
      </c>
      <c r="H16" s="11">
        <f t="shared" si="0"/>
        <v>0.15</v>
      </c>
      <c r="I16" s="14">
        <v>4</v>
      </c>
      <c r="J16" s="14">
        <v>2</v>
      </c>
      <c r="K16" s="15">
        <f>IF(F16&gt;=Assumptions!$B$10,5,IF(F16&gt;=Assumptions!$B$11,4,IF(F16&gt;=Assumptions!$B$12,3,IF(F16&gt;=Assumptions!$B$13,2,1))))</f>
        <v>2</v>
      </c>
      <c r="L16" s="15">
        <f>IF(H16&lt;=Assumptions!$B$17,5,IF(H16&lt;=Assumptions!$B$18,4,IF(H16&lt;=Assumptions!$B$19,3,IF(H16&lt;=Assumptions!$B$20,2,1))))</f>
        <v>5</v>
      </c>
      <c r="M16" s="11">
        <f>(K16*Assumptions!$B$3)+(L16*Assumptions!$B$4)+(I16*Assumptions!$B$5)+(J16*Assumptions!$B$6)</f>
        <v>3.1499999999999995</v>
      </c>
      <c r="N16" s="10" t="s">
        <v>99</v>
      </c>
      <c r="O16" s="10" t="s">
        <v>27</v>
      </c>
    </row>
    <row r="17" spans="1:15" ht="15" customHeight="1" x14ac:dyDescent="0.3">
      <c r="A17" s="10" t="s">
        <v>114</v>
      </c>
      <c r="B17" s="10" t="s">
        <v>115</v>
      </c>
      <c r="C17" s="10" t="s">
        <v>116</v>
      </c>
      <c r="D17" s="10" t="s">
        <v>117</v>
      </c>
      <c r="E17" s="10" t="s">
        <v>13</v>
      </c>
      <c r="F17" s="13">
        <v>380</v>
      </c>
      <c r="G17" s="13">
        <v>90</v>
      </c>
      <c r="H17" s="11">
        <f t="shared" si="0"/>
        <v>0.23684210526315788</v>
      </c>
      <c r="I17" s="14">
        <v>1</v>
      </c>
      <c r="J17" s="14">
        <v>5</v>
      </c>
      <c r="K17" s="15">
        <f>IF(F17&gt;=Assumptions!$B$10,5,IF(F17&gt;=Assumptions!$B$11,4,IF(F17&gt;=Assumptions!$B$12,3,IF(F17&gt;=Assumptions!$B$13,2,1))))</f>
        <v>5</v>
      </c>
      <c r="L17" s="15">
        <f>IF(H17&lt;=Assumptions!$B$17,5,IF(H17&lt;=Assumptions!$B$18,4,IF(H17&lt;=Assumptions!$B$19,3,IF(H17&lt;=Assumptions!$B$20,2,1))))</f>
        <v>5</v>
      </c>
      <c r="M17" s="11">
        <f>(K17*Assumptions!$B$3)+(L17*Assumptions!$B$4)+(I17*Assumptions!$B$5)+(J17*Assumptions!$B$6)</f>
        <v>4.2</v>
      </c>
      <c r="N17" s="10" t="s">
        <v>79</v>
      </c>
      <c r="O17" s="10" t="s">
        <v>27</v>
      </c>
    </row>
    <row r="18" spans="1:15" ht="15" customHeight="1" x14ac:dyDescent="0.3">
      <c r="A18" s="10" t="s">
        <v>118</v>
      </c>
      <c r="B18" s="10" t="s">
        <v>119</v>
      </c>
      <c r="C18" s="10" t="s">
        <v>116</v>
      </c>
      <c r="D18" s="10" t="s">
        <v>120</v>
      </c>
      <c r="E18" s="10" t="s">
        <v>13</v>
      </c>
      <c r="F18" s="13">
        <v>30</v>
      </c>
      <c r="G18" s="13">
        <v>45</v>
      </c>
      <c r="H18" s="11">
        <f t="shared" si="0"/>
        <v>1.5</v>
      </c>
      <c r="I18" s="14">
        <v>2</v>
      </c>
      <c r="J18" s="14">
        <v>3</v>
      </c>
      <c r="K18" s="15">
        <f>IF(F18&gt;=Assumptions!$B$10,5,IF(F18&gt;=Assumptions!$B$11,4,IF(F18&gt;=Assumptions!$B$12,3,IF(F18&gt;=Assumptions!$B$13,2,1))))</f>
        <v>2</v>
      </c>
      <c r="L18" s="15">
        <f>IF(H18&lt;=Assumptions!$B$17,5,IF(H18&lt;=Assumptions!$B$18,4,IF(H18&lt;=Assumptions!$B$19,3,IF(H18&lt;=Assumptions!$B$20,2,1))))</f>
        <v>2</v>
      </c>
      <c r="M18" s="11">
        <f>(K18*Assumptions!$B$3)+(L18*Assumptions!$B$4)+(I18*Assumptions!$B$5)+(J18*Assumptions!$B$6)</f>
        <v>2.1500000000000004</v>
      </c>
      <c r="N18" s="10" t="s">
        <v>99</v>
      </c>
      <c r="O18" s="10" t="s">
        <v>27</v>
      </c>
    </row>
    <row r="19" spans="1:15" ht="15" customHeight="1" x14ac:dyDescent="0.3">
      <c r="A19" s="10" t="s">
        <v>121</v>
      </c>
      <c r="B19" s="10" t="s">
        <v>122</v>
      </c>
      <c r="C19" s="10" t="s">
        <v>116</v>
      </c>
      <c r="D19" s="10" t="s">
        <v>117</v>
      </c>
      <c r="E19" s="10" t="s">
        <v>13</v>
      </c>
      <c r="F19" s="13">
        <v>95</v>
      </c>
      <c r="G19" s="13">
        <v>35</v>
      </c>
      <c r="H19" s="11">
        <f t="shared" si="0"/>
        <v>0.36842105263157893</v>
      </c>
      <c r="I19" s="14">
        <v>2</v>
      </c>
      <c r="J19" s="14">
        <v>4</v>
      </c>
      <c r="K19" s="15">
        <f>IF(F19&gt;=Assumptions!$B$10,5,IF(F19&gt;=Assumptions!$B$11,4,IF(F19&gt;=Assumptions!$B$12,3,IF(F19&gt;=Assumptions!$B$13,2,1))))</f>
        <v>3</v>
      </c>
      <c r="L19" s="15">
        <f>IF(H19&lt;=Assumptions!$B$17,5,IF(H19&lt;=Assumptions!$B$18,4,IF(H19&lt;=Assumptions!$B$19,3,IF(H19&lt;=Assumptions!$B$20,2,1))))</f>
        <v>4</v>
      </c>
      <c r="M19" s="11">
        <f>(K19*Assumptions!$B$3)+(L19*Assumptions!$B$4)+(I19*Assumptions!$B$5)+(J19*Assumptions!$B$6)</f>
        <v>3.2</v>
      </c>
      <c r="N19" s="10" t="s">
        <v>99</v>
      </c>
      <c r="O19" s="10" t="s">
        <v>27</v>
      </c>
    </row>
    <row r="20" spans="1:15" ht="15" customHeight="1" x14ac:dyDescent="0.3">
      <c r="A20" s="10" t="s">
        <v>123</v>
      </c>
      <c r="B20" s="10" t="s">
        <v>124</v>
      </c>
      <c r="C20" s="10" t="s">
        <v>116</v>
      </c>
      <c r="D20" s="10" t="s">
        <v>125</v>
      </c>
      <c r="E20" s="10" t="s">
        <v>13</v>
      </c>
      <c r="F20" s="13">
        <v>58</v>
      </c>
      <c r="G20" s="13">
        <v>14</v>
      </c>
      <c r="H20" s="11">
        <f t="shared" si="0"/>
        <v>0.2413793103448276</v>
      </c>
      <c r="I20" s="14">
        <v>3</v>
      </c>
      <c r="J20" s="14">
        <v>3</v>
      </c>
      <c r="K20" s="15">
        <f>IF(F20&gt;=Assumptions!$B$10,5,IF(F20&gt;=Assumptions!$B$11,4,IF(F20&gt;=Assumptions!$B$12,3,IF(F20&gt;=Assumptions!$B$13,2,1))))</f>
        <v>2</v>
      </c>
      <c r="L20" s="15">
        <f>IF(H20&lt;=Assumptions!$B$17,5,IF(H20&lt;=Assumptions!$B$18,4,IF(H20&lt;=Assumptions!$B$19,3,IF(H20&lt;=Assumptions!$B$20,2,1))))</f>
        <v>5</v>
      </c>
      <c r="M20" s="11">
        <f>(K20*Assumptions!$B$3)+(L20*Assumptions!$B$4)+(I20*Assumptions!$B$5)+(J20*Assumptions!$B$6)</f>
        <v>3.0999999999999996</v>
      </c>
      <c r="N20" s="10" t="s">
        <v>64</v>
      </c>
      <c r="O20" s="10" t="s">
        <v>25</v>
      </c>
    </row>
    <row r="21" spans="1:15" ht="15" customHeight="1" x14ac:dyDescent="0.3">
      <c r="A21" s="10" t="s">
        <v>126</v>
      </c>
      <c r="B21" s="10" t="s">
        <v>127</v>
      </c>
      <c r="C21" s="10" t="s">
        <v>116</v>
      </c>
      <c r="D21" s="10" t="s">
        <v>120</v>
      </c>
      <c r="E21" s="10" t="s">
        <v>13</v>
      </c>
      <c r="F21" s="13">
        <v>220</v>
      </c>
      <c r="G21" s="13">
        <v>25</v>
      </c>
      <c r="H21" s="11">
        <f t="shared" si="0"/>
        <v>0.11363636363636363</v>
      </c>
      <c r="I21" s="14">
        <v>2</v>
      </c>
      <c r="J21" s="14">
        <v>5</v>
      </c>
      <c r="K21" s="15">
        <f>IF(F21&gt;=Assumptions!$B$10,5,IF(F21&gt;=Assumptions!$B$11,4,IF(F21&gt;=Assumptions!$B$12,3,IF(F21&gt;=Assumptions!$B$13,2,1))))</f>
        <v>4</v>
      </c>
      <c r="L21" s="15">
        <f>IF(H21&lt;=Assumptions!$B$17,5,IF(H21&lt;=Assumptions!$B$18,4,IF(H21&lt;=Assumptions!$B$19,3,IF(H21&lt;=Assumptions!$B$20,2,1))))</f>
        <v>5</v>
      </c>
      <c r="M21" s="11">
        <f>(K21*Assumptions!$B$3)+(L21*Assumptions!$B$4)+(I21*Assumptions!$B$5)+(J21*Assumptions!$B$6)</f>
        <v>4</v>
      </c>
      <c r="N21" s="10" t="s">
        <v>79</v>
      </c>
      <c r="O21" s="10" t="s">
        <v>26</v>
      </c>
    </row>
    <row r="22" spans="1:15" ht="15" customHeight="1" x14ac:dyDescent="0.3">
      <c r="A22" s="10" t="s">
        <v>128</v>
      </c>
      <c r="B22" s="10" t="s">
        <v>129</v>
      </c>
      <c r="C22" s="10" t="s">
        <v>130</v>
      </c>
      <c r="D22" s="10" t="s">
        <v>131</v>
      </c>
      <c r="E22" s="10" t="s">
        <v>12</v>
      </c>
      <c r="F22" s="13">
        <v>48</v>
      </c>
      <c r="G22" s="13">
        <v>18</v>
      </c>
      <c r="H22" s="11">
        <f t="shared" si="0"/>
        <v>0.375</v>
      </c>
      <c r="I22" s="14">
        <v>4</v>
      </c>
      <c r="J22" s="14">
        <v>3</v>
      </c>
      <c r="K22" s="15">
        <f>IF(F22&gt;=Assumptions!$B$10,5,IF(F22&gt;=Assumptions!$B$11,4,IF(F22&gt;=Assumptions!$B$12,3,IF(F22&gt;=Assumptions!$B$13,2,1))))</f>
        <v>2</v>
      </c>
      <c r="L22" s="15">
        <f>IF(H22&lt;=Assumptions!$B$17,5,IF(H22&lt;=Assumptions!$B$18,4,IF(H22&lt;=Assumptions!$B$19,3,IF(H22&lt;=Assumptions!$B$20,2,1))))</f>
        <v>4</v>
      </c>
      <c r="M22" s="11">
        <f>(K22*Assumptions!$B$3)+(L22*Assumptions!$B$4)+(I22*Assumptions!$B$5)+(J22*Assumptions!$B$6)</f>
        <v>3.05</v>
      </c>
      <c r="N22" s="10" t="s">
        <v>74</v>
      </c>
      <c r="O22" s="10" t="s">
        <v>24</v>
      </c>
    </row>
    <row r="23" spans="1:15" ht="15" customHeight="1" x14ac:dyDescent="0.3">
      <c r="A23" s="10" t="s">
        <v>132</v>
      </c>
      <c r="B23" s="10" t="s">
        <v>133</v>
      </c>
      <c r="C23" s="10" t="s">
        <v>134</v>
      </c>
      <c r="D23" s="10" t="s">
        <v>135</v>
      </c>
      <c r="E23" s="10" t="s">
        <v>12</v>
      </c>
      <c r="F23" s="13">
        <v>130</v>
      </c>
      <c r="G23" s="13">
        <v>55</v>
      </c>
      <c r="H23" s="11">
        <f t="shared" si="0"/>
        <v>0.42307692307692307</v>
      </c>
      <c r="I23" s="14">
        <v>2</v>
      </c>
      <c r="J23" s="14">
        <v>4</v>
      </c>
      <c r="K23" s="15">
        <f>IF(F23&gt;=Assumptions!$B$10,5,IF(F23&gt;=Assumptions!$B$11,4,IF(F23&gt;=Assumptions!$B$12,3,IF(F23&gt;=Assumptions!$B$13,2,1))))</f>
        <v>3</v>
      </c>
      <c r="L23" s="15">
        <f>IF(H23&lt;=Assumptions!$B$17,5,IF(H23&lt;=Assumptions!$B$18,4,IF(H23&lt;=Assumptions!$B$19,3,IF(H23&lt;=Assumptions!$B$20,2,1))))</f>
        <v>4</v>
      </c>
      <c r="M23" s="11">
        <f>(K23*Assumptions!$B$3)+(L23*Assumptions!$B$4)+(I23*Assumptions!$B$5)+(J23*Assumptions!$B$6)</f>
        <v>3.2</v>
      </c>
      <c r="N23" s="10" t="s">
        <v>69</v>
      </c>
      <c r="O23" s="10" t="s">
        <v>26</v>
      </c>
    </row>
    <row r="24" spans="1:15" ht="15" customHeight="1" x14ac:dyDescent="0.3">
      <c r="A24" s="10" t="s">
        <v>136</v>
      </c>
      <c r="B24" s="10" t="s">
        <v>137</v>
      </c>
      <c r="C24" s="10" t="s">
        <v>138</v>
      </c>
      <c r="D24" s="10" t="s">
        <v>139</v>
      </c>
      <c r="E24" s="10" t="s">
        <v>12</v>
      </c>
      <c r="F24" s="13">
        <v>32</v>
      </c>
      <c r="G24" s="13">
        <v>6</v>
      </c>
      <c r="H24" s="11">
        <f t="shared" si="0"/>
        <v>0.1875</v>
      </c>
      <c r="I24" s="14">
        <v>5</v>
      </c>
      <c r="J24" s="14">
        <v>4</v>
      </c>
      <c r="K24" s="15">
        <f>IF(F24&gt;=Assumptions!$B$10,5,IF(F24&gt;=Assumptions!$B$11,4,IF(F24&gt;=Assumptions!$B$12,3,IF(F24&gt;=Assumptions!$B$13,2,1))))</f>
        <v>2</v>
      </c>
      <c r="L24" s="15">
        <f>IF(H24&lt;=Assumptions!$B$17,5,IF(H24&lt;=Assumptions!$B$18,4,IF(H24&lt;=Assumptions!$B$19,3,IF(H24&lt;=Assumptions!$B$20,2,1))))</f>
        <v>5</v>
      </c>
      <c r="M24" s="11">
        <f>(K24*Assumptions!$B$3)+(L24*Assumptions!$B$4)+(I24*Assumptions!$B$5)+(J24*Assumptions!$B$6)</f>
        <v>3.65</v>
      </c>
      <c r="N24" s="10" t="s">
        <v>64</v>
      </c>
      <c r="O24" s="10" t="s">
        <v>24</v>
      </c>
    </row>
    <row r="25" spans="1:15" ht="15" customHeight="1" x14ac:dyDescent="0.3">
      <c r="A25" s="10" t="s">
        <v>140</v>
      </c>
      <c r="B25" s="10" t="s">
        <v>141</v>
      </c>
      <c r="C25" s="10" t="s">
        <v>142</v>
      </c>
      <c r="D25" s="10" t="s">
        <v>143</v>
      </c>
      <c r="E25" s="10" t="s">
        <v>12</v>
      </c>
      <c r="F25" s="13">
        <v>26</v>
      </c>
      <c r="G25" s="13">
        <v>15</v>
      </c>
      <c r="H25" s="11">
        <f t="shared" si="0"/>
        <v>0.57692307692307687</v>
      </c>
      <c r="I25" s="14">
        <v>3</v>
      </c>
      <c r="J25" s="14">
        <v>2</v>
      </c>
      <c r="K25" s="15">
        <f>IF(F25&gt;=Assumptions!$B$10,5,IF(F25&gt;=Assumptions!$B$11,4,IF(F25&gt;=Assumptions!$B$12,3,IF(F25&gt;=Assumptions!$B$13,2,1))))</f>
        <v>1</v>
      </c>
      <c r="L25" s="15">
        <f>IF(H25&lt;=Assumptions!$B$17,5,IF(H25&lt;=Assumptions!$B$18,4,IF(H25&lt;=Assumptions!$B$19,3,IF(H25&lt;=Assumptions!$B$20,2,1))))</f>
        <v>4</v>
      </c>
      <c r="M25" s="11">
        <f>(K25*Assumptions!$B$3)+(L25*Assumptions!$B$4)+(I25*Assumptions!$B$5)+(J25*Assumptions!$B$6)</f>
        <v>2.2999999999999998</v>
      </c>
      <c r="N25" s="10" t="s">
        <v>99</v>
      </c>
      <c r="O25" s="10" t="s">
        <v>27</v>
      </c>
    </row>
    <row r="26" spans="1:15" ht="15" customHeight="1" x14ac:dyDescent="0.3">
      <c r="A26" s="10" t="s">
        <v>144</v>
      </c>
      <c r="B26" s="10" t="s">
        <v>145</v>
      </c>
      <c r="C26" s="10" t="s">
        <v>146</v>
      </c>
      <c r="D26" s="10" t="s">
        <v>83</v>
      </c>
      <c r="E26" s="10" t="s">
        <v>12</v>
      </c>
      <c r="F26" s="13">
        <v>70</v>
      </c>
      <c r="G26" s="13">
        <v>28</v>
      </c>
      <c r="H26" s="11">
        <f t="shared" si="0"/>
        <v>0.4</v>
      </c>
      <c r="I26" s="14">
        <v>3</v>
      </c>
      <c r="J26" s="14">
        <v>3</v>
      </c>
      <c r="K26" s="15">
        <f>IF(F26&gt;=Assumptions!$B$10,5,IF(F26&gt;=Assumptions!$B$11,4,IF(F26&gt;=Assumptions!$B$12,3,IF(F26&gt;=Assumptions!$B$13,2,1))))</f>
        <v>2</v>
      </c>
      <c r="L26" s="15">
        <f>IF(H26&lt;=Assumptions!$B$17,5,IF(H26&lt;=Assumptions!$B$18,4,IF(H26&lt;=Assumptions!$B$19,3,IF(H26&lt;=Assumptions!$B$20,2,1))))</f>
        <v>4</v>
      </c>
      <c r="M26" s="11">
        <f>(K26*Assumptions!$B$3)+(L26*Assumptions!$B$4)+(I26*Assumptions!$B$5)+(J26*Assumptions!$B$6)</f>
        <v>2.8500000000000005</v>
      </c>
      <c r="N26" s="10" t="s">
        <v>79</v>
      </c>
      <c r="O26" s="10" t="s">
        <v>26</v>
      </c>
    </row>
    <row r="27" spans="1:15" ht="15" customHeight="1" x14ac:dyDescent="0.3">
      <c r="A27" s="10" t="s">
        <v>147</v>
      </c>
      <c r="B27" s="10" t="s">
        <v>148</v>
      </c>
      <c r="C27" s="10" t="s">
        <v>149</v>
      </c>
      <c r="D27" s="10" t="s">
        <v>150</v>
      </c>
      <c r="E27" s="10" t="s">
        <v>19</v>
      </c>
      <c r="F27" s="13">
        <v>165</v>
      </c>
      <c r="G27" s="13">
        <v>20</v>
      </c>
      <c r="H27" s="11">
        <f t="shared" si="0"/>
        <v>0.12121212121212122</v>
      </c>
      <c r="I27" s="14">
        <v>4</v>
      </c>
      <c r="J27" s="14">
        <v>5</v>
      </c>
      <c r="K27" s="15">
        <f>IF(F27&gt;=Assumptions!$B$10,5,IF(F27&gt;=Assumptions!$B$11,4,IF(F27&gt;=Assumptions!$B$12,3,IF(F27&gt;=Assumptions!$B$13,2,1))))</f>
        <v>4</v>
      </c>
      <c r="L27" s="15">
        <f>IF(H27&lt;=Assumptions!$B$17,5,IF(H27&lt;=Assumptions!$B$18,4,IF(H27&lt;=Assumptions!$B$19,3,IF(H27&lt;=Assumptions!$B$20,2,1))))</f>
        <v>5</v>
      </c>
      <c r="M27" s="11">
        <f>(K27*Assumptions!$B$3)+(L27*Assumptions!$B$4)+(I27*Assumptions!$B$5)+(J27*Assumptions!$B$6)</f>
        <v>4.4000000000000004</v>
      </c>
      <c r="N27" s="10" t="s">
        <v>64</v>
      </c>
      <c r="O27" s="10" t="s">
        <v>25</v>
      </c>
    </row>
    <row r="28" spans="1:15" ht="15" customHeight="1" x14ac:dyDescent="0.3">
      <c r="A28" s="10" t="s">
        <v>151</v>
      </c>
      <c r="B28" s="10" t="s">
        <v>152</v>
      </c>
      <c r="C28" s="10" t="s">
        <v>149</v>
      </c>
      <c r="D28" s="10" t="s">
        <v>150</v>
      </c>
      <c r="E28" s="10" t="s">
        <v>19</v>
      </c>
      <c r="F28" s="13">
        <v>75</v>
      </c>
      <c r="G28" s="13">
        <v>12</v>
      </c>
      <c r="H28" s="11">
        <f t="shared" si="0"/>
        <v>0.16</v>
      </c>
      <c r="I28" s="14">
        <v>4</v>
      </c>
      <c r="J28" s="14">
        <v>4</v>
      </c>
      <c r="K28" s="15">
        <f>IF(F28&gt;=Assumptions!$B$10,5,IF(F28&gt;=Assumptions!$B$11,4,IF(F28&gt;=Assumptions!$B$12,3,IF(F28&gt;=Assumptions!$B$13,2,1))))</f>
        <v>3</v>
      </c>
      <c r="L28" s="15">
        <f>IF(H28&lt;=Assumptions!$B$17,5,IF(H28&lt;=Assumptions!$B$18,4,IF(H28&lt;=Assumptions!$B$19,3,IF(H28&lt;=Assumptions!$B$20,2,1))))</f>
        <v>5</v>
      </c>
      <c r="M28" s="11">
        <f>(K28*Assumptions!$B$3)+(L28*Assumptions!$B$4)+(I28*Assumptions!$B$5)+(J28*Assumptions!$B$6)</f>
        <v>3.85</v>
      </c>
      <c r="N28" s="10" t="s">
        <v>74</v>
      </c>
      <c r="O28" s="10" t="s">
        <v>24</v>
      </c>
    </row>
    <row r="29" spans="1:15" ht="15" customHeight="1" x14ac:dyDescent="0.3">
      <c r="A29" s="10" t="s">
        <v>153</v>
      </c>
      <c r="B29" s="10" t="s">
        <v>154</v>
      </c>
      <c r="C29" s="10" t="s">
        <v>149</v>
      </c>
      <c r="D29" s="10" t="s">
        <v>155</v>
      </c>
      <c r="E29" s="10" t="s">
        <v>19</v>
      </c>
      <c r="F29" s="13">
        <v>40</v>
      </c>
      <c r="G29" s="13">
        <v>8</v>
      </c>
      <c r="H29" s="11">
        <f t="shared" si="0"/>
        <v>0.2</v>
      </c>
      <c r="I29" s="14">
        <v>4</v>
      </c>
      <c r="J29" s="14">
        <v>3</v>
      </c>
      <c r="K29" s="15">
        <f>IF(F29&gt;=Assumptions!$B$10,5,IF(F29&gt;=Assumptions!$B$11,4,IF(F29&gt;=Assumptions!$B$12,3,IF(F29&gt;=Assumptions!$B$13,2,1))))</f>
        <v>2</v>
      </c>
      <c r="L29" s="15">
        <f>IF(H29&lt;=Assumptions!$B$17,5,IF(H29&lt;=Assumptions!$B$18,4,IF(H29&lt;=Assumptions!$B$19,3,IF(H29&lt;=Assumptions!$B$20,2,1))))</f>
        <v>5</v>
      </c>
      <c r="M29" s="11">
        <f>(K29*Assumptions!$B$3)+(L29*Assumptions!$B$4)+(I29*Assumptions!$B$5)+(J29*Assumptions!$B$6)</f>
        <v>3.3</v>
      </c>
      <c r="N29" s="10" t="s">
        <v>99</v>
      </c>
      <c r="O29" s="10" t="s">
        <v>27</v>
      </c>
    </row>
    <row r="30" spans="1:15" ht="15" customHeight="1" x14ac:dyDescent="0.3">
      <c r="A30" s="10" t="s">
        <v>156</v>
      </c>
      <c r="B30" s="10" t="s">
        <v>157</v>
      </c>
      <c r="C30" s="10" t="s">
        <v>149</v>
      </c>
      <c r="D30" s="10" t="s">
        <v>158</v>
      </c>
      <c r="E30" s="10" t="s">
        <v>19</v>
      </c>
      <c r="F30" s="13">
        <v>110</v>
      </c>
      <c r="G30" s="13">
        <v>24</v>
      </c>
      <c r="H30" s="11">
        <f t="shared" si="0"/>
        <v>0.21818181818181817</v>
      </c>
      <c r="I30" s="14">
        <v>3</v>
      </c>
      <c r="J30" s="14">
        <v>4</v>
      </c>
      <c r="K30" s="15">
        <f>IF(F30&gt;=Assumptions!$B$10,5,IF(F30&gt;=Assumptions!$B$11,4,IF(F30&gt;=Assumptions!$B$12,3,IF(F30&gt;=Assumptions!$B$13,2,1))))</f>
        <v>3</v>
      </c>
      <c r="L30" s="15">
        <f>IF(H30&lt;=Assumptions!$B$17,5,IF(H30&lt;=Assumptions!$B$18,4,IF(H30&lt;=Assumptions!$B$19,3,IF(H30&lt;=Assumptions!$B$20,2,1))))</f>
        <v>5</v>
      </c>
      <c r="M30" s="11">
        <f>(K30*Assumptions!$B$3)+(L30*Assumptions!$B$4)+(I30*Assumptions!$B$5)+(J30*Assumptions!$B$6)</f>
        <v>3.6500000000000004</v>
      </c>
      <c r="N30" s="10" t="s">
        <v>79</v>
      </c>
      <c r="O30" s="10" t="s">
        <v>26</v>
      </c>
    </row>
    <row r="31" spans="1:15" ht="15" customHeight="1" x14ac:dyDescent="0.3">
      <c r="A31" s="10" t="s">
        <v>159</v>
      </c>
      <c r="B31" s="10" t="s">
        <v>160</v>
      </c>
      <c r="C31" s="10" t="s">
        <v>149</v>
      </c>
      <c r="D31" s="10" t="s">
        <v>155</v>
      </c>
      <c r="E31" s="10" t="s">
        <v>19</v>
      </c>
      <c r="F31" s="13">
        <v>22</v>
      </c>
      <c r="G31" s="13">
        <v>5</v>
      </c>
      <c r="H31" s="11">
        <f t="shared" si="0"/>
        <v>0.22727272727272727</v>
      </c>
      <c r="I31" s="14">
        <v>4</v>
      </c>
      <c r="J31" s="14">
        <v>2</v>
      </c>
      <c r="K31" s="15">
        <f>IF(F31&gt;=Assumptions!$B$10,5,IF(F31&gt;=Assumptions!$B$11,4,IF(F31&gt;=Assumptions!$B$12,3,IF(F31&gt;=Assumptions!$B$13,2,1))))</f>
        <v>1</v>
      </c>
      <c r="L31" s="15">
        <f>IF(H31&lt;=Assumptions!$B$17,5,IF(H31&lt;=Assumptions!$B$18,4,IF(H31&lt;=Assumptions!$B$19,3,IF(H31&lt;=Assumptions!$B$20,2,1))))</f>
        <v>5</v>
      </c>
      <c r="M31" s="11">
        <f>(K31*Assumptions!$B$3)+(L31*Assumptions!$B$4)+(I31*Assumptions!$B$5)+(J31*Assumptions!$B$6)</f>
        <v>2.75</v>
      </c>
      <c r="N31" s="10" t="s">
        <v>99</v>
      </c>
      <c r="O31" s="10" t="s">
        <v>27</v>
      </c>
    </row>
    <row r="32" spans="1:15" ht="15" customHeight="1" x14ac:dyDescent="0.3">
      <c r="A32" s="10" t="s">
        <v>161</v>
      </c>
      <c r="B32" s="10" t="s">
        <v>162</v>
      </c>
      <c r="C32" s="10" t="s">
        <v>163</v>
      </c>
      <c r="D32" s="10" t="s">
        <v>143</v>
      </c>
      <c r="E32" s="10" t="s">
        <v>15</v>
      </c>
      <c r="F32" s="13">
        <v>145</v>
      </c>
      <c r="G32" s="13">
        <v>5</v>
      </c>
      <c r="H32" s="11">
        <f t="shared" si="0"/>
        <v>3.4482758620689655E-2</v>
      </c>
      <c r="I32" s="14">
        <v>4</v>
      </c>
      <c r="J32" s="14">
        <v>4</v>
      </c>
      <c r="K32" s="15">
        <f>IF(F32&gt;=Assumptions!$B$10,5,IF(F32&gt;=Assumptions!$B$11,4,IF(F32&gt;=Assumptions!$B$12,3,IF(F32&gt;=Assumptions!$B$13,2,1))))</f>
        <v>3</v>
      </c>
      <c r="L32" s="15">
        <f>IF(H32&lt;=Assumptions!$B$17,5,IF(H32&lt;=Assumptions!$B$18,4,IF(H32&lt;=Assumptions!$B$19,3,IF(H32&lt;=Assumptions!$B$20,2,1))))</f>
        <v>5</v>
      </c>
      <c r="M32" s="11">
        <f>(K32*Assumptions!$B$3)+(L32*Assumptions!$B$4)+(I32*Assumptions!$B$5)+(J32*Assumptions!$B$6)</f>
        <v>3.85</v>
      </c>
      <c r="N32" s="10" t="s">
        <v>69</v>
      </c>
      <c r="O32" s="10" t="s">
        <v>25</v>
      </c>
    </row>
    <row r="33" spans="1:15" ht="15" customHeight="1" x14ac:dyDescent="0.3">
      <c r="A33" s="10" t="s">
        <v>164</v>
      </c>
      <c r="B33" s="10" t="s">
        <v>165</v>
      </c>
      <c r="C33" s="10" t="s">
        <v>163</v>
      </c>
      <c r="D33" s="10" t="s">
        <v>166</v>
      </c>
      <c r="E33" s="10" t="s">
        <v>15</v>
      </c>
      <c r="F33" s="13">
        <v>60</v>
      </c>
      <c r="G33" s="13">
        <v>18</v>
      </c>
      <c r="H33" s="11">
        <f t="shared" si="0"/>
        <v>0.3</v>
      </c>
      <c r="I33" s="14">
        <v>3</v>
      </c>
      <c r="J33" s="14">
        <v>3</v>
      </c>
      <c r="K33" s="15">
        <f>IF(F33&gt;=Assumptions!$B$10,5,IF(F33&gt;=Assumptions!$B$11,4,IF(F33&gt;=Assumptions!$B$12,3,IF(F33&gt;=Assumptions!$B$13,2,1))))</f>
        <v>2</v>
      </c>
      <c r="L33" s="15">
        <f>IF(H33&lt;=Assumptions!$B$17,5,IF(H33&lt;=Assumptions!$B$18,4,IF(H33&lt;=Assumptions!$B$19,3,IF(H33&lt;=Assumptions!$B$20,2,1))))</f>
        <v>5</v>
      </c>
      <c r="M33" s="11">
        <f>(K33*Assumptions!$B$3)+(L33*Assumptions!$B$4)+(I33*Assumptions!$B$5)+(J33*Assumptions!$B$6)</f>
        <v>3.0999999999999996</v>
      </c>
      <c r="N33" s="10" t="s">
        <v>64</v>
      </c>
      <c r="O33" s="10" t="s">
        <v>25</v>
      </c>
    </row>
    <row r="34" spans="1:15" ht="15" customHeight="1" x14ac:dyDescent="0.3">
      <c r="A34" s="10" t="s">
        <v>167</v>
      </c>
      <c r="B34" s="10" t="s">
        <v>168</v>
      </c>
      <c r="C34" s="10" t="s">
        <v>163</v>
      </c>
      <c r="D34" s="10" t="s">
        <v>166</v>
      </c>
      <c r="E34" s="10" t="s">
        <v>15</v>
      </c>
      <c r="F34" s="13">
        <v>92</v>
      </c>
      <c r="G34" s="13">
        <v>6</v>
      </c>
      <c r="H34" s="11">
        <f t="shared" ref="H34:H65" si="1">G34/F34</f>
        <v>6.5217391304347824E-2</v>
      </c>
      <c r="I34" s="14">
        <v>3</v>
      </c>
      <c r="J34" s="14">
        <v>4</v>
      </c>
      <c r="K34" s="15">
        <f>IF(F34&gt;=Assumptions!$B$10,5,IF(F34&gt;=Assumptions!$B$11,4,IF(F34&gt;=Assumptions!$B$12,3,IF(F34&gt;=Assumptions!$B$13,2,1))))</f>
        <v>3</v>
      </c>
      <c r="L34" s="15">
        <f>IF(H34&lt;=Assumptions!$B$17,5,IF(H34&lt;=Assumptions!$B$18,4,IF(H34&lt;=Assumptions!$B$19,3,IF(H34&lt;=Assumptions!$B$20,2,1))))</f>
        <v>5</v>
      </c>
      <c r="M34" s="11">
        <f>(K34*Assumptions!$B$3)+(L34*Assumptions!$B$4)+(I34*Assumptions!$B$5)+(J34*Assumptions!$B$6)</f>
        <v>3.6500000000000004</v>
      </c>
      <c r="N34" s="10" t="s">
        <v>79</v>
      </c>
      <c r="O34" s="10" t="s">
        <v>26</v>
      </c>
    </row>
    <row r="35" spans="1:15" ht="15" customHeight="1" x14ac:dyDescent="0.3">
      <c r="A35" s="10" t="s">
        <v>169</v>
      </c>
      <c r="B35" s="10" t="s">
        <v>170</v>
      </c>
      <c r="C35" s="10" t="s">
        <v>163</v>
      </c>
      <c r="D35" s="10" t="s">
        <v>143</v>
      </c>
      <c r="E35" s="10" t="s">
        <v>15</v>
      </c>
      <c r="F35" s="13">
        <v>28</v>
      </c>
      <c r="G35" s="13">
        <v>10</v>
      </c>
      <c r="H35" s="11">
        <f t="shared" si="1"/>
        <v>0.35714285714285715</v>
      </c>
      <c r="I35" s="14">
        <v>4</v>
      </c>
      <c r="J35" s="14">
        <v>2</v>
      </c>
      <c r="K35" s="15">
        <f>IF(F35&gt;=Assumptions!$B$10,5,IF(F35&gt;=Assumptions!$B$11,4,IF(F35&gt;=Assumptions!$B$12,3,IF(F35&gt;=Assumptions!$B$13,2,1))))</f>
        <v>1</v>
      </c>
      <c r="L35" s="15">
        <f>IF(H35&lt;=Assumptions!$B$17,5,IF(H35&lt;=Assumptions!$B$18,4,IF(H35&lt;=Assumptions!$B$19,3,IF(H35&lt;=Assumptions!$B$20,2,1))))</f>
        <v>4</v>
      </c>
      <c r="M35" s="11">
        <f>(K35*Assumptions!$B$3)+(L35*Assumptions!$B$4)+(I35*Assumptions!$B$5)+(J35*Assumptions!$B$6)</f>
        <v>2.5</v>
      </c>
      <c r="N35" s="10" t="s">
        <v>99</v>
      </c>
      <c r="O35" s="10" t="s">
        <v>27</v>
      </c>
    </row>
    <row r="36" spans="1:15" ht="15" customHeight="1" x14ac:dyDescent="0.3">
      <c r="A36" s="10" t="s">
        <v>171</v>
      </c>
      <c r="B36" s="10" t="s">
        <v>172</v>
      </c>
      <c r="C36" s="10" t="s">
        <v>163</v>
      </c>
      <c r="D36" s="10" t="s">
        <v>166</v>
      </c>
      <c r="E36" s="10" t="s">
        <v>15</v>
      </c>
      <c r="F36" s="13">
        <v>50</v>
      </c>
      <c r="G36" s="13">
        <v>22</v>
      </c>
      <c r="H36" s="11">
        <f t="shared" si="1"/>
        <v>0.44</v>
      </c>
      <c r="I36" s="14">
        <v>2</v>
      </c>
      <c r="J36" s="14">
        <v>3</v>
      </c>
      <c r="K36" s="15">
        <f>IF(F36&gt;=Assumptions!$B$10,5,IF(F36&gt;=Assumptions!$B$11,4,IF(F36&gt;=Assumptions!$B$12,3,IF(F36&gt;=Assumptions!$B$13,2,1))))</f>
        <v>2</v>
      </c>
      <c r="L36" s="15">
        <f>IF(H36&lt;=Assumptions!$B$17,5,IF(H36&lt;=Assumptions!$B$18,4,IF(H36&lt;=Assumptions!$B$19,3,IF(H36&lt;=Assumptions!$B$20,2,1))))</f>
        <v>4</v>
      </c>
      <c r="M36" s="11">
        <f>(K36*Assumptions!$B$3)+(L36*Assumptions!$B$4)+(I36*Assumptions!$B$5)+(J36*Assumptions!$B$6)</f>
        <v>2.6500000000000004</v>
      </c>
      <c r="N36" s="10" t="s">
        <v>99</v>
      </c>
      <c r="O36" s="10" t="s">
        <v>27</v>
      </c>
    </row>
    <row r="37" spans="1:15" ht="15" customHeight="1" x14ac:dyDescent="0.3">
      <c r="A37" s="10" t="s">
        <v>173</v>
      </c>
      <c r="B37" s="10" t="s">
        <v>174</v>
      </c>
      <c r="C37" s="10" t="s">
        <v>146</v>
      </c>
      <c r="D37" s="10" t="s">
        <v>83</v>
      </c>
      <c r="E37" s="10" t="s">
        <v>14</v>
      </c>
      <c r="F37" s="13">
        <v>210</v>
      </c>
      <c r="G37" s="13">
        <v>180</v>
      </c>
      <c r="H37" s="11">
        <f t="shared" si="1"/>
        <v>0.8571428571428571</v>
      </c>
      <c r="I37" s="14">
        <v>1</v>
      </c>
      <c r="J37" s="14">
        <v>4</v>
      </c>
      <c r="K37" s="15">
        <f>IF(F37&gt;=Assumptions!$B$10,5,IF(F37&gt;=Assumptions!$B$11,4,IF(F37&gt;=Assumptions!$B$12,3,IF(F37&gt;=Assumptions!$B$13,2,1))))</f>
        <v>4</v>
      </c>
      <c r="L37" s="15">
        <f>IF(H37&lt;=Assumptions!$B$17,5,IF(H37&lt;=Assumptions!$B$18,4,IF(H37&lt;=Assumptions!$B$19,3,IF(H37&lt;=Assumptions!$B$20,2,1))))</f>
        <v>3</v>
      </c>
      <c r="M37" s="11">
        <f>(K37*Assumptions!$B$3)+(L37*Assumptions!$B$4)+(I37*Assumptions!$B$5)+(J37*Assumptions!$B$6)</f>
        <v>3.1500000000000004</v>
      </c>
      <c r="N37" s="10" t="s">
        <v>79</v>
      </c>
      <c r="O37" s="10" t="s">
        <v>27</v>
      </c>
    </row>
    <row r="38" spans="1:15" ht="15" customHeight="1" x14ac:dyDescent="0.3">
      <c r="A38" s="10" t="s">
        <v>175</v>
      </c>
      <c r="B38" s="10" t="s">
        <v>176</v>
      </c>
      <c r="C38" s="10" t="s">
        <v>146</v>
      </c>
      <c r="D38" s="10" t="s">
        <v>120</v>
      </c>
      <c r="E38" s="10" t="s">
        <v>14</v>
      </c>
      <c r="F38" s="13">
        <v>35</v>
      </c>
      <c r="G38" s="13">
        <v>14</v>
      </c>
      <c r="H38" s="11">
        <f t="shared" si="1"/>
        <v>0.4</v>
      </c>
      <c r="I38" s="14">
        <v>5</v>
      </c>
      <c r="J38" s="14">
        <v>2</v>
      </c>
      <c r="K38" s="15">
        <f>IF(F38&gt;=Assumptions!$B$10,5,IF(F38&gt;=Assumptions!$B$11,4,IF(F38&gt;=Assumptions!$B$12,3,IF(F38&gt;=Assumptions!$B$13,2,1))))</f>
        <v>2</v>
      </c>
      <c r="L38" s="15">
        <f>IF(H38&lt;=Assumptions!$B$17,5,IF(H38&lt;=Assumptions!$B$18,4,IF(H38&lt;=Assumptions!$B$19,3,IF(H38&lt;=Assumptions!$B$20,2,1))))</f>
        <v>4</v>
      </c>
      <c r="M38" s="11">
        <f>(K38*Assumptions!$B$3)+(L38*Assumptions!$B$4)+(I38*Assumptions!$B$5)+(J38*Assumptions!$B$6)</f>
        <v>3.0999999999999996</v>
      </c>
      <c r="N38" s="10" t="s">
        <v>74</v>
      </c>
      <c r="O38" s="10" t="s">
        <v>24</v>
      </c>
    </row>
    <row r="39" spans="1:15" ht="15" customHeight="1" x14ac:dyDescent="0.3">
      <c r="A39" s="10" t="s">
        <v>177</v>
      </c>
      <c r="B39" s="10" t="s">
        <v>178</v>
      </c>
      <c r="C39" s="10" t="s">
        <v>146</v>
      </c>
      <c r="D39" s="10" t="s">
        <v>83</v>
      </c>
      <c r="E39" s="10" t="s">
        <v>14</v>
      </c>
      <c r="F39" s="13">
        <v>65</v>
      </c>
      <c r="G39" s="13">
        <v>32</v>
      </c>
      <c r="H39" s="11">
        <f t="shared" si="1"/>
        <v>0.49230769230769234</v>
      </c>
      <c r="I39" s="14">
        <v>2</v>
      </c>
      <c r="J39" s="14">
        <v>4</v>
      </c>
      <c r="K39" s="15">
        <f>IF(F39&gt;=Assumptions!$B$10,5,IF(F39&gt;=Assumptions!$B$11,4,IF(F39&gt;=Assumptions!$B$12,3,IF(F39&gt;=Assumptions!$B$13,2,1))))</f>
        <v>2</v>
      </c>
      <c r="L39" s="15">
        <f>IF(H39&lt;=Assumptions!$B$17,5,IF(H39&lt;=Assumptions!$B$18,4,IF(H39&lt;=Assumptions!$B$19,3,IF(H39&lt;=Assumptions!$B$20,2,1))))</f>
        <v>4</v>
      </c>
      <c r="M39" s="11">
        <f>(K39*Assumptions!$B$3)+(L39*Assumptions!$B$4)+(I39*Assumptions!$B$5)+(J39*Assumptions!$B$6)</f>
        <v>2.8000000000000003</v>
      </c>
      <c r="N39" s="10" t="s">
        <v>69</v>
      </c>
      <c r="O39" s="10" t="s">
        <v>26</v>
      </c>
    </row>
    <row r="40" spans="1:15" ht="15" customHeight="1" x14ac:dyDescent="0.3">
      <c r="A40" s="10" t="s">
        <v>179</v>
      </c>
      <c r="B40" s="10" t="s">
        <v>180</v>
      </c>
      <c r="C40" s="10" t="s">
        <v>146</v>
      </c>
      <c r="D40" s="10" t="s">
        <v>63</v>
      </c>
      <c r="E40" s="10" t="s">
        <v>14</v>
      </c>
      <c r="F40" s="13">
        <v>48</v>
      </c>
      <c r="G40" s="13">
        <v>16</v>
      </c>
      <c r="H40" s="11">
        <f t="shared" si="1"/>
        <v>0.33333333333333331</v>
      </c>
      <c r="I40" s="14">
        <v>3</v>
      </c>
      <c r="J40" s="14">
        <v>3</v>
      </c>
      <c r="K40" s="15">
        <f>IF(F40&gt;=Assumptions!$B$10,5,IF(F40&gt;=Assumptions!$B$11,4,IF(F40&gt;=Assumptions!$B$12,3,IF(F40&gt;=Assumptions!$B$13,2,1))))</f>
        <v>2</v>
      </c>
      <c r="L40" s="15">
        <f>IF(H40&lt;=Assumptions!$B$17,5,IF(H40&lt;=Assumptions!$B$18,4,IF(H40&lt;=Assumptions!$B$19,3,IF(H40&lt;=Assumptions!$B$20,2,1))))</f>
        <v>4</v>
      </c>
      <c r="M40" s="11">
        <f>(K40*Assumptions!$B$3)+(L40*Assumptions!$B$4)+(I40*Assumptions!$B$5)+(J40*Assumptions!$B$6)</f>
        <v>2.8500000000000005</v>
      </c>
      <c r="N40" s="10" t="s">
        <v>64</v>
      </c>
      <c r="O40" s="10" t="s">
        <v>25</v>
      </c>
    </row>
    <row r="41" spans="1:15" ht="15" customHeight="1" x14ac:dyDescent="0.3">
      <c r="A41" s="10" t="s">
        <v>181</v>
      </c>
      <c r="B41" s="10" t="s">
        <v>182</v>
      </c>
      <c r="C41" s="10" t="s">
        <v>146</v>
      </c>
      <c r="D41" s="10" t="s">
        <v>120</v>
      </c>
      <c r="E41" s="10" t="s">
        <v>14</v>
      </c>
      <c r="F41" s="13">
        <v>18</v>
      </c>
      <c r="G41" s="13">
        <v>9</v>
      </c>
      <c r="H41" s="11">
        <f t="shared" si="1"/>
        <v>0.5</v>
      </c>
      <c r="I41" s="14">
        <v>4</v>
      </c>
      <c r="J41" s="14">
        <v>2</v>
      </c>
      <c r="K41" s="15">
        <f>IF(F41&gt;=Assumptions!$B$10,5,IF(F41&gt;=Assumptions!$B$11,4,IF(F41&gt;=Assumptions!$B$12,3,IF(F41&gt;=Assumptions!$B$13,2,1))))</f>
        <v>1</v>
      </c>
      <c r="L41" s="15">
        <f>IF(H41&lt;=Assumptions!$B$17,5,IF(H41&lt;=Assumptions!$B$18,4,IF(H41&lt;=Assumptions!$B$19,3,IF(H41&lt;=Assumptions!$B$20,2,1))))</f>
        <v>4</v>
      </c>
      <c r="M41" s="11">
        <f>(K41*Assumptions!$B$3)+(L41*Assumptions!$B$4)+(I41*Assumptions!$B$5)+(J41*Assumptions!$B$6)</f>
        <v>2.5</v>
      </c>
      <c r="N41" s="10" t="s">
        <v>99</v>
      </c>
      <c r="O41" s="10" t="s">
        <v>27</v>
      </c>
    </row>
    <row r="42" spans="1:15" ht="15" customHeight="1" x14ac:dyDescent="0.3">
      <c r="A42" s="10" t="s">
        <v>183</v>
      </c>
      <c r="B42" s="10" t="s">
        <v>184</v>
      </c>
      <c r="C42" s="10" t="s">
        <v>185</v>
      </c>
      <c r="D42" s="10" t="s">
        <v>135</v>
      </c>
      <c r="E42" s="10" t="s">
        <v>16</v>
      </c>
      <c r="F42" s="13">
        <v>38</v>
      </c>
      <c r="G42" s="13">
        <v>4</v>
      </c>
      <c r="H42" s="11">
        <f t="shared" si="1"/>
        <v>0.10526315789473684</v>
      </c>
      <c r="I42" s="14">
        <v>5</v>
      </c>
      <c r="J42" s="14">
        <v>3</v>
      </c>
      <c r="K42" s="15">
        <f>IF(F42&gt;=Assumptions!$B$10,5,IF(F42&gt;=Assumptions!$B$11,4,IF(F42&gt;=Assumptions!$B$12,3,IF(F42&gt;=Assumptions!$B$13,2,1))))</f>
        <v>2</v>
      </c>
      <c r="L42" s="15">
        <f>IF(H42&lt;=Assumptions!$B$17,5,IF(H42&lt;=Assumptions!$B$18,4,IF(H42&lt;=Assumptions!$B$19,3,IF(H42&lt;=Assumptions!$B$20,2,1))))</f>
        <v>5</v>
      </c>
      <c r="M42" s="11">
        <f>(K42*Assumptions!$B$3)+(L42*Assumptions!$B$4)+(I42*Assumptions!$B$5)+(J42*Assumptions!$B$6)</f>
        <v>3.5</v>
      </c>
      <c r="N42" s="10" t="s">
        <v>74</v>
      </c>
      <c r="O42" s="10" t="s">
        <v>24</v>
      </c>
    </row>
    <row r="43" spans="1:15" ht="15" customHeight="1" x14ac:dyDescent="0.3">
      <c r="A43" s="10" t="s">
        <v>186</v>
      </c>
      <c r="B43" s="10" t="s">
        <v>187</v>
      </c>
      <c r="C43" s="10" t="s">
        <v>185</v>
      </c>
      <c r="D43" s="10" t="s">
        <v>135</v>
      </c>
      <c r="E43" s="10" t="s">
        <v>16</v>
      </c>
      <c r="F43" s="13">
        <v>26</v>
      </c>
      <c r="G43" s="13">
        <v>10</v>
      </c>
      <c r="H43" s="11">
        <f t="shared" si="1"/>
        <v>0.38461538461538464</v>
      </c>
      <c r="I43" s="14">
        <v>4</v>
      </c>
      <c r="J43" s="14">
        <v>3</v>
      </c>
      <c r="K43" s="15">
        <f>IF(F43&gt;=Assumptions!$B$10,5,IF(F43&gt;=Assumptions!$B$11,4,IF(F43&gt;=Assumptions!$B$12,3,IF(F43&gt;=Assumptions!$B$13,2,1))))</f>
        <v>1</v>
      </c>
      <c r="L43" s="15">
        <f>IF(H43&lt;=Assumptions!$B$17,5,IF(H43&lt;=Assumptions!$B$18,4,IF(H43&lt;=Assumptions!$B$19,3,IF(H43&lt;=Assumptions!$B$20,2,1))))</f>
        <v>4</v>
      </c>
      <c r="M43" s="11">
        <f>(K43*Assumptions!$B$3)+(L43*Assumptions!$B$4)+(I43*Assumptions!$B$5)+(J43*Assumptions!$B$6)</f>
        <v>2.6500000000000004</v>
      </c>
      <c r="N43" s="10" t="s">
        <v>64</v>
      </c>
      <c r="O43" s="10" t="s">
        <v>25</v>
      </c>
    </row>
    <row r="44" spans="1:15" ht="15" customHeight="1" x14ac:dyDescent="0.3">
      <c r="A44" s="10" t="s">
        <v>188</v>
      </c>
      <c r="B44" s="10" t="s">
        <v>189</v>
      </c>
      <c r="C44" s="10" t="s">
        <v>185</v>
      </c>
      <c r="D44" s="10" t="s">
        <v>190</v>
      </c>
      <c r="E44" s="10" t="s">
        <v>16</v>
      </c>
      <c r="F44" s="13">
        <v>72</v>
      </c>
      <c r="G44" s="13">
        <v>45</v>
      </c>
      <c r="H44" s="11">
        <f t="shared" si="1"/>
        <v>0.625</v>
      </c>
      <c r="I44" s="14">
        <v>2</v>
      </c>
      <c r="J44" s="14">
        <v>3</v>
      </c>
      <c r="K44" s="15">
        <f>IF(F44&gt;=Assumptions!$B$10,5,IF(F44&gt;=Assumptions!$B$11,4,IF(F44&gt;=Assumptions!$B$12,3,IF(F44&gt;=Assumptions!$B$13,2,1))))</f>
        <v>2</v>
      </c>
      <c r="L44" s="15">
        <f>IF(H44&lt;=Assumptions!$B$17,5,IF(H44&lt;=Assumptions!$B$18,4,IF(H44&lt;=Assumptions!$B$19,3,IF(H44&lt;=Assumptions!$B$20,2,1))))</f>
        <v>3</v>
      </c>
      <c r="M44" s="11">
        <f>(K44*Assumptions!$B$3)+(L44*Assumptions!$B$4)+(I44*Assumptions!$B$5)+(J44*Assumptions!$B$6)</f>
        <v>2.4000000000000004</v>
      </c>
      <c r="N44" s="10" t="s">
        <v>79</v>
      </c>
      <c r="O44" s="10" t="s">
        <v>27</v>
      </c>
    </row>
    <row r="45" spans="1:15" ht="15" customHeight="1" x14ac:dyDescent="0.3">
      <c r="A45" s="10" t="s">
        <v>191</v>
      </c>
      <c r="B45" s="10" t="s">
        <v>192</v>
      </c>
      <c r="C45" s="10" t="s">
        <v>185</v>
      </c>
      <c r="D45" s="10" t="s">
        <v>190</v>
      </c>
      <c r="E45" s="10" t="s">
        <v>16</v>
      </c>
      <c r="F45" s="13">
        <v>20</v>
      </c>
      <c r="G45" s="13">
        <v>6</v>
      </c>
      <c r="H45" s="11">
        <f t="shared" si="1"/>
        <v>0.3</v>
      </c>
      <c r="I45" s="14">
        <v>4</v>
      </c>
      <c r="J45" s="14">
        <v>2</v>
      </c>
      <c r="K45" s="15">
        <f>IF(F45&gt;=Assumptions!$B$10,5,IF(F45&gt;=Assumptions!$B$11,4,IF(F45&gt;=Assumptions!$B$12,3,IF(F45&gt;=Assumptions!$B$13,2,1))))</f>
        <v>1</v>
      </c>
      <c r="L45" s="15">
        <f>IF(H45&lt;=Assumptions!$B$17,5,IF(H45&lt;=Assumptions!$B$18,4,IF(H45&lt;=Assumptions!$B$19,3,IF(H45&lt;=Assumptions!$B$20,2,1))))</f>
        <v>5</v>
      </c>
      <c r="M45" s="11">
        <f>(K45*Assumptions!$B$3)+(L45*Assumptions!$B$4)+(I45*Assumptions!$B$5)+(J45*Assumptions!$B$6)</f>
        <v>2.75</v>
      </c>
      <c r="N45" s="10" t="s">
        <v>99</v>
      </c>
      <c r="O45" s="10" t="s">
        <v>27</v>
      </c>
    </row>
    <row r="46" spans="1:15" ht="15" customHeight="1" x14ac:dyDescent="0.3">
      <c r="A46" s="10" t="s">
        <v>193</v>
      </c>
      <c r="B46" s="10" t="s">
        <v>194</v>
      </c>
      <c r="C46" s="10" t="s">
        <v>185</v>
      </c>
      <c r="D46" s="10" t="s">
        <v>135</v>
      </c>
      <c r="E46" s="10" t="s">
        <v>16</v>
      </c>
      <c r="F46" s="13">
        <v>12</v>
      </c>
      <c r="G46" s="13">
        <v>8</v>
      </c>
      <c r="H46" s="11">
        <f t="shared" si="1"/>
        <v>0.66666666666666663</v>
      </c>
      <c r="I46" s="14">
        <v>4</v>
      </c>
      <c r="J46" s="14">
        <v>1</v>
      </c>
      <c r="K46" s="15">
        <f>IF(F46&gt;=Assumptions!$B$10,5,IF(F46&gt;=Assumptions!$B$11,4,IF(F46&gt;=Assumptions!$B$12,3,IF(F46&gt;=Assumptions!$B$13,2,1))))</f>
        <v>1</v>
      </c>
      <c r="L46" s="15">
        <f>IF(H46&lt;=Assumptions!$B$17,5,IF(H46&lt;=Assumptions!$B$18,4,IF(H46&lt;=Assumptions!$B$19,3,IF(H46&lt;=Assumptions!$B$20,2,1))))</f>
        <v>3</v>
      </c>
      <c r="M46" s="11">
        <f>(K46*Assumptions!$B$3)+(L46*Assumptions!$B$4)+(I46*Assumptions!$B$5)+(J46*Assumptions!$B$6)</f>
        <v>2.1</v>
      </c>
      <c r="N46" s="10" t="s">
        <v>99</v>
      </c>
      <c r="O46" s="10" t="s">
        <v>27</v>
      </c>
    </row>
    <row r="47" spans="1:15" ht="15" customHeight="1" x14ac:dyDescent="0.3">
      <c r="A47" s="10" t="s">
        <v>195</v>
      </c>
      <c r="B47" s="10" t="s">
        <v>196</v>
      </c>
      <c r="C47" s="10" t="s">
        <v>197</v>
      </c>
      <c r="D47" s="10" t="s">
        <v>198</v>
      </c>
      <c r="E47" s="10" t="s">
        <v>20</v>
      </c>
      <c r="F47" s="13">
        <v>88</v>
      </c>
      <c r="G47" s="13">
        <v>20</v>
      </c>
      <c r="H47" s="11">
        <f t="shared" si="1"/>
        <v>0.22727272727272727</v>
      </c>
      <c r="I47" s="14">
        <v>3</v>
      </c>
      <c r="J47" s="14">
        <v>4</v>
      </c>
      <c r="K47" s="15">
        <f>IF(F47&gt;=Assumptions!$B$10,5,IF(F47&gt;=Assumptions!$B$11,4,IF(F47&gt;=Assumptions!$B$12,3,IF(F47&gt;=Assumptions!$B$13,2,1))))</f>
        <v>3</v>
      </c>
      <c r="L47" s="15">
        <f>IF(H47&lt;=Assumptions!$B$17,5,IF(H47&lt;=Assumptions!$B$18,4,IF(H47&lt;=Assumptions!$B$19,3,IF(H47&lt;=Assumptions!$B$20,2,1))))</f>
        <v>5</v>
      </c>
      <c r="M47" s="11">
        <f>(K47*Assumptions!$B$3)+(L47*Assumptions!$B$4)+(I47*Assumptions!$B$5)+(J47*Assumptions!$B$6)</f>
        <v>3.6500000000000004</v>
      </c>
      <c r="N47" s="10" t="s">
        <v>69</v>
      </c>
      <c r="O47" s="10" t="s">
        <v>26</v>
      </c>
    </row>
    <row r="48" spans="1:15" ht="15" customHeight="1" x14ac:dyDescent="0.3">
      <c r="A48" s="10" t="s">
        <v>199</v>
      </c>
      <c r="B48" s="10" t="s">
        <v>200</v>
      </c>
      <c r="C48" s="10" t="s">
        <v>197</v>
      </c>
      <c r="D48" s="10" t="s">
        <v>198</v>
      </c>
      <c r="E48" s="10" t="s">
        <v>20</v>
      </c>
      <c r="F48" s="13">
        <v>55</v>
      </c>
      <c r="G48" s="13">
        <v>18</v>
      </c>
      <c r="H48" s="11">
        <f t="shared" si="1"/>
        <v>0.32727272727272727</v>
      </c>
      <c r="I48" s="14">
        <v>3</v>
      </c>
      <c r="J48" s="14">
        <v>3</v>
      </c>
      <c r="K48" s="15">
        <f>IF(F48&gt;=Assumptions!$B$10,5,IF(F48&gt;=Assumptions!$B$11,4,IF(F48&gt;=Assumptions!$B$12,3,IF(F48&gt;=Assumptions!$B$13,2,1))))</f>
        <v>2</v>
      </c>
      <c r="L48" s="15">
        <f>IF(H48&lt;=Assumptions!$B$17,5,IF(H48&lt;=Assumptions!$B$18,4,IF(H48&lt;=Assumptions!$B$19,3,IF(H48&lt;=Assumptions!$B$20,2,1))))</f>
        <v>4</v>
      </c>
      <c r="M48" s="11">
        <f>(K48*Assumptions!$B$3)+(L48*Assumptions!$B$4)+(I48*Assumptions!$B$5)+(J48*Assumptions!$B$6)</f>
        <v>2.8500000000000005</v>
      </c>
      <c r="N48" s="10" t="s">
        <v>79</v>
      </c>
      <c r="O48" s="10" t="s">
        <v>26</v>
      </c>
    </row>
    <row r="49" spans="1:15" ht="15" customHeight="1" x14ac:dyDescent="0.3">
      <c r="A49" s="10" t="s">
        <v>201</v>
      </c>
      <c r="B49" s="10" t="s">
        <v>202</v>
      </c>
      <c r="C49" s="10" t="s">
        <v>197</v>
      </c>
      <c r="D49" s="10" t="s">
        <v>90</v>
      </c>
      <c r="E49" s="10" t="s">
        <v>20</v>
      </c>
      <c r="F49" s="13">
        <v>30</v>
      </c>
      <c r="G49" s="13">
        <v>12</v>
      </c>
      <c r="H49" s="11">
        <f t="shared" si="1"/>
        <v>0.4</v>
      </c>
      <c r="I49" s="14">
        <v>4</v>
      </c>
      <c r="J49" s="14">
        <v>3</v>
      </c>
      <c r="K49" s="15">
        <f>IF(F49&gt;=Assumptions!$B$10,5,IF(F49&gt;=Assumptions!$B$11,4,IF(F49&gt;=Assumptions!$B$12,3,IF(F49&gt;=Assumptions!$B$13,2,1))))</f>
        <v>2</v>
      </c>
      <c r="L49" s="15">
        <f>IF(H49&lt;=Assumptions!$B$17,5,IF(H49&lt;=Assumptions!$B$18,4,IF(H49&lt;=Assumptions!$B$19,3,IF(H49&lt;=Assumptions!$B$20,2,1))))</f>
        <v>4</v>
      </c>
      <c r="M49" s="11">
        <f>(K49*Assumptions!$B$3)+(L49*Assumptions!$B$4)+(I49*Assumptions!$B$5)+(J49*Assumptions!$B$6)</f>
        <v>3.05</v>
      </c>
      <c r="N49" s="10" t="s">
        <v>64</v>
      </c>
      <c r="O49" s="10" t="s">
        <v>25</v>
      </c>
    </row>
    <row r="50" spans="1:15" ht="15" customHeight="1" x14ac:dyDescent="0.3">
      <c r="A50" s="10" t="s">
        <v>203</v>
      </c>
      <c r="B50" s="10" t="s">
        <v>204</v>
      </c>
      <c r="C50" s="10" t="s">
        <v>197</v>
      </c>
      <c r="D50" s="10" t="s">
        <v>198</v>
      </c>
      <c r="E50" s="10" t="s">
        <v>20</v>
      </c>
      <c r="F50" s="13">
        <v>140</v>
      </c>
      <c r="G50" s="13">
        <v>35</v>
      </c>
      <c r="H50" s="11">
        <f t="shared" si="1"/>
        <v>0.25</v>
      </c>
      <c r="I50" s="14">
        <v>2</v>
      </c>
      <c r="J50" s="14">
        <v>4</v>
      </c>
      <c r="K50" s="15">
        <f>IF(F50&gt;=Assumptions!$B$10,5,IF(F50&gt;=Assumptions!$B$11,4,IF(F50&gt;=Assumptions!$B$12,3,IF(F50&gt;=Assumptions!$B$13,2,1))))</f>
        <v>3</v>
      </c>
      <c r="L50" s="15">
        <f>IF(H50&lt;=Assumptions!$B$17,5,IF(H50&lt;=Assumptions!$B$18,4,IF(H50&lt;=Assumptions!$B$19,3,IF(H50&lt;=Assumptions!$B$20,2,1))))</f>
        <v>5</v>
      </c>
      <c r="M50" s="11">
        <f>(K50*Assumptions!$B$3)+(L50*Assumptions!$B$4)+(I50*Assumptions!$B$5)+(J50*Assumptions!$B$6)</f>
        <v>3.45</v>
      </c>
      <c r="N50" s="10" t="s">
        <v>99</v>
      </c>
      <c r="O50" s="10" t="s">
        <v>27</v>
      </c>
    </row>
    <row r="51" spans="1:15" ht="15" customHeight="1" x14ac:dyDescent="0.3">
      <c r="A51" s="10" t="s">
        <v>205</v>
      </c>
      <c r="B51" s="10" t="s">
        <v>206</v>
      </c>
      <c r="C51" s="10" t="s">
        <v>197</v>
      </c>
      <c r="D51" s="10" t="s">
        <v>90</v>
      </c>
      <c r="E51" s="10" t="s">
        <v>20</v>
      </c>
      <c r="F51" s="13">
        <v>46</v>
      </c>
      <c r="G51" s="13">
        <v>16</v>
      </c>
      <c r="H51" s="11">
        <f t="shared" si="1"/>
        <v>0.34782608695652173</v>
      </c>
      <c r="I51" s="14">
        <v>3</v>
      </c>
      <c r="J51" s="14">
        <v>3</v>
      </c>
      <c r="K51" s="15">
        <f>IF(F51&gt;=Assumptions!$B$10,5,IF(F51&gt;=Assumptions!$B$11,4,IF(F51&gt;=Assumptions!$B$12,3,IF(F51&gt;=Assumptions!$B$13,2,1))))</f>
        <v>2</v>
      </c>
      <c r="L51" s="15">
        <f>IF(H51&lt;=Assumptions!$B$17,5,IF(H51&lt;=Assumptions!$B$18,4,IF(H51&lt;=Assumptions!$B$19,3,IF(H51&lt;=Assumptions!$B$20,2,1))))</f>
        <v>4</v>
      </c>
      <c r="M51" s="11">
        <f>(K51*Assumptions!$B$3)+(L51*Assumptions!$B$4)+(I51*Assumptions!$B$5)+(J51*Assumptions!$B$6)</f>
        <v>2.8500000000000005</v>
      </c>
      <c r="N51" s="10" t="s">
        <v>99</v>
      </c>
      <c r="O51" s="10" t="s">
        <v>27</v>
      </c>
    </row>
  </sheetData>
  <conditionalFormatting sqref="M2:M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7dc0288-30f0-432f-82cc-0864b31b7d4f}" enabled="0" method="" siteId="{e7dc0288-30f0-432f-82cc-0864b31b7d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Assumptions</vt:lpstr>
      <vt:lpstr>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Sundhar Kilingarumana</cp:lastModifiedBy>
  <cp:revision>0</cp:revision>
  <dcterms:created xsi:type="dcterms:W3CDTF">2026-07-06T13:42:35Z</dcterms:created>
  <dcterms:modified xsi:type="dcterms:W3CDTF">2026-07-07T10:00:21Z</dcterms:modified>
  <dc:language>en-US</dc:language>
</cp:coreProperties>
</file>